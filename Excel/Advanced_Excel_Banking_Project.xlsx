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D:\working\waccache\MA1PEPF00009958\EXCELCNV\7268c76c-1933-405d-be04-8607b8283eb5\"/>
    </mc:Choice>
  </mc:AlternateContent>
  <xr:revisionPtr revIDLastSave="0" documentId="8_{17CBFCEF-9697-44C8-8183-161568E636CF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Raw_Data" sheetId="1" r:id="rId1"/>
    <sheet name="Summary" sheetId="2" r:id="rId2"/>
    <sheet name="Top_Reps" sheetId="3" r:id="rId3"/>
    <sheet name="D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2" i="1"/>
  <c r="G32" i="4"/>
  <c r="G31" i="4"/>
  <c r="G30" i="4"/>
  <c r="G29" i="4"/>
  <c r="G28" i="4"/>
  <c r="G27" i="4"/>
  <c r="G26" i="4"/>
  <c r="B26" i="4"/>
  <c r="G25" i="4"/>
  <c r="B25" i="4"/>
  <c r="G24" i="4"/>
  <c r="B24" i="4"/>
  <c r="G23" i="4"/>
  <c r="B23" i="4"/>
  <c r="G22" i="4"/>
  <c r="B22" i="4"/>
  <c r="G21" i="4"/>
  <c r="B21" i="4"/>
  <c r="B3" i="4"/>
  <c r="B12" i="3"/>
  <c r="B11" i="3"/>
  <c r="B10" i="3"/>
  <c r="B9" i="3"/>
  <c r="B8" i="3"/>
  <c r="B7" i="3"/>
  <c r="B6" i="3"/>
  <c r="B5" i="3"/>
  <c r="B4" i="3"/>
  <c r="B3" i="3"/>
  <c r="M9" i="2"/>
  <c r="L9" i="2"/>
  <c r="K9" i="2"/>
  <c r="J9" i="2"/>
  <c r="I9" i="2"/>
  <c r="H9" i="2"/>
  <c r="G9" i="2"/>
  <c r="F9" i="2"/>
  <c r="E9" i="2"/>
  <c r="D9" i="2"/>
  <c r="C9" i="2"/>
  <c r="B9" i="2"/>
  <c r="P14" i="4" s="1"/>
  <c r="M8" i="2"/>
  <c r="L8" i="2"/>
  <c r="K8" i="2"/>
  <c r="J8" i="2"/>
  <c r="I8" i="2"/>
  <c r="H8" i="2"/>
  <c r="G8" i="2"/>
  <c r="F8" i="2"/>
  <c r="E8" i="2"/>
  <c r="D8" i="2"/>
  <c r="C8" i="2"/>
  <c r="B8" i="2"/>
  <c r="P13" i="4" s="1"/>
  <c r="M7" i="2"/>
  <c r="L7" i="2"/>
  <c r="K7" i="2"/>
  <c r="J7" i="2"/>
  <c r="I7" i="2"/>
  <c r="H7" i="2"/>
  <c r="G7" i="2"/>
  <c r="F7" i="2"/>
  <c r="E7" i="2"/>
  <c r="D7" i="2"/>
  <c r="C7" i="2"/>
  <c r="B7" i="2"/>
  <c r="P12" i="4" s="1"/>
  <c r="M6" i="2"/>
  <c r="L6" i="2"/>
  <c r="K6" i="2"/>
  <c r="J6" i="2"/>
  <c r="I6" i="2"/>
  <c r="H6" i="2"/>
  <c r="G6" i="2"/>
  <c r="F6" i="2"/>
  <c r="E6" i="2"/>
  <c r="D6" i="2"/>
  <c r="C6" i="2"/>
  <c r="B6" i="2"/>
  <c r="P11" i="4" s="1"/>
  <c r="M5" i="2"/>
  <c r="L5" i="2"/>
  <c r="K5" i="2"/>
  <c r="J5" i="2"/>
  <c r="I5" i="2"/>
  <c r="H5" i="2"/>
  <c r="G5" i="2"/>
  <c r="F5" i="2"/>
  <c r="E5" i="2"/>
  <c r="D5" i="2"/>
  <c r="C5" i="2"/>
  <c r="B5" i="2"/>
  <c r="P10" i="4" s="1"/>
  <c r="M4" i="2"/>
  <c r="M11" i="2" s="1"/>
  <c r="L4" i="2"/>
  <c r="L11" i="2" s="1"/>
  <c r="K4" i="2"/>
  <c r="K11" i="2" s="1"/>
  <c r="J4" i="2"/>
  <c r="J11" i="2" s="1"/>
  <c r="I4" i="2"/>
  <c r="I11" i="2" s="1"/>
  <c r="H4" i="2"/>
  <c r="H11" i="2" s="1"/>
  <c r="G4" i="2"/>
  <c r="G11" i="2" s="1"/>
  <c r="F4" i="2"/>
  <c r="F11" i="2" s="1"/>
  <c r="E4" i="2"/>
  <c r="E11" i="2" s="1"/>
  <c r="D4" i="2"/>
  <c r="D11" i="2" s="1"/>
  <c r="C4" i="2"/>
  <c r="C11" i="2" s="1"/>
  <c r="B4" i="2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B5" i="4" l="1"/>
  <c r="B4" i="4"/>
  <c r="P9" i="4"/>
  <c r="B6" i="4" s="1"/>
  <c r="B11" i="2"/>
</calcChain>
</file>

<file path=xl/sharedStrings.xml><?xml version="1.0" encoding="utf-8"?>
<sst xmlns="http://schemas.openxmlformats.org/spreadsheetml/2006/main" count="3690" uniqueCount="81">
  <si>
    <t>Order_ID</t>
  </si>
  <si>
    <t>Date</t>
  </si>
  <si>
    <t>Region</t>
  </si>
  <si>
    <t>Sales_Rep</t>
  </si>
  <si>
    <t>Product_Category</t>
  </si>
  <si>
    <t>Product</t>
  </si>
  <si>
    <t>Units</t>
  </si>
  <si>
    <t>Unit_Price</t>
  </si>
  <si>
    <t>Discount</t>
  </si>
  <si>
    <t>Revenue</t>
  </si>
  <si>
    <t>Profit</t>
  </si>
  <si>
    <t>Month</t>
  </si>
  <si>
    <t>Quarter</t>
  </si>
  <si>
    <t>Profit_Margin</t>
  </si>
  <si>
    <t>Dubai</t>
  </si>
  <si>
    <t>Zain</t>
  </si>
  <si>
    <t>Retail Loans</t>
  </si>
  <si>
    <t>Personal Loan</t>
  </si>
  <si>
    <t>2024-06</t>
  </si>
  <si>
    <t>Q2</t>
  </si>
  <si>
    <t>Karan</t>
  </si>
  <si>
    <t>Credit Cards</t>
  </si>
  <si>
    <t>Visa Classic</t>
  </si>
  <si>
    <t>2024-12</t>
  </si>
  <si>
    <t>Q4</t>
  </si>
  <si>
    <t>Abu Dhabi</t>
  </si>
  <si>
    <t>Omar</t>
  </si>
  <si>
    <t>Deposits</t>
  </si>
  <si>
    <t>Savings Account</t>
  </si>
  <si>
    <t>2024-02</t>
  </si>
  <si>
    <t>Q1</t>
  </si>
  <si>
    <t>Ras Al Khaimah</t>
  </si>
  <si>
    <t>Ravi</t>
  </si>
  <si>
    <t>SME Banking</t>
  </si>
  <si>
    <t>Trade Finance</t>
  </si>
  <si>
    <t>Ajman</t>
  </si>
  <si>
    <t>Ayesha</t>
  </si>
  <si>
    <t>2024-04</t>
  </si>
  <si>
    <t>Priyanka</t>
  </si>
  <si>
    <t>Product Category</t>
  </si>
  <si>
    <t>Profit Margin</t>
  </si>
  <si>
    <t>Fatima</t>
  </si>
  <si>
    <t>2024-03</t>
  </si>
  <si>
    <t>Sharjah</t>
  </si>
  <si>
    <t>Leena</t>
  </si>
  <si>
    <t>Wealth</t>
  </si>
  <si>
    <t>Bancassurance</t>
  </si>
  <si>
    <t>2024-11</t>
  </si>
  <si>
    <t>Fujairah</t>
  </si>
  <si>
    <t>Home Loan</t>
  </si>
  <si>
    <t>2024-05</t>
  </si>
  <si>
    <t>Mohan</t>
  </si>
  <si>
    <t>Visa Gold</t>
  </si>
  <si>
    <t>2024-07</t>
  </si>
  <si>
    <t>Q3</t>
  </si>
  <si>
    <t>2024-09</t>
  </si>
  <si>
    <t>MasterCard Platinum</t>
  </si>
  <si>
    <t>Mutual Funds</t>
  </si>
  <si>
    <t>2024-10</t>
  </si>
  <si>
    <t>Working Capital</t>
  </si>
  <si>
    <t>Portfolio Advisory</t>
  </si>
  <si>
    <t>2024-08</t>
  </si>
  <si>
    <t>Fixed Deposit</t>
  </si>
  <si>
    <t>Sara</t>
  </si>
  <si>
    <t>Current Account</t>
  </si>
  <si>
    <t>Auto Loan</t>
  </si>
  <si>
    <t>SME Loan</t>
  </si>
  <si>
    <t>2024-01</t>
  </si>
  <si>
    <t>Summary: Region x Month Revenue</t>
  </si>
  <si>
    <t>Region/Month</t>
  </si>
  <si>
    <t>TOTAL</t>
  </si>
  <si>
    <t>Top Sales Representatives (Total Revenue)</t>
  </si>
  <si>
    <t>Column1</t>
  </si>
  <si>
    <t>Total_Revenue</t>
  </si>
  <si>
    <t>Banking Analytics - Sales Dashboard</t>
  </si>
  <si>
    <t>Total Revenue</t>
  </si>
  <si>
    <t>Total Profit</t>
  </si>
  <si>
    <t>Average Profit Margin</t>
  </si>
  <si>
    <t>Top Region</t>
  </si>
  <si>
    <t>Helper Regions</t>
  </si>
  <si>
    <t>Month_Revenue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</si>
</sst>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:mm:ss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b/>
      <sz val="16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0" fillId="0" borderId="12" xfId="0" applyBorder="1"/>
    <xf numFmtId="164" fontId="0" fillId="0" borderId="13" xfId="0" applyNumberFormat="1" applyBorder="1"/>
    <xf numFmtId="0" fontId="0" fillId="0" borderId="13" xfId="0" applyBorder="1"/>
    <xf numFmtId="0" fontId="0" fillId="0" borderId="14" xfId="0" applyBorder="1"/>
    <xf numFmtId="44" fontId="0" fillId="0" borderId="0" xfId="0" applyNumberFormat="1"/>
    <xf numFmtId="44" fontId="3" fillId="0" borderId="0" xfId="0" applyNumberFormat="1" applyFont="1"/>
    <xf numFmtId="0" fontId="5" fillId="0" borderId="15" xfId="0" applyFont="1" applyBorder="1"/>
    <xf numFmtId="0" fontId="5" fillId="0" borderId="16" xfId="0" applyFont="1" applyBorder="1"/>
    <xf numFmtId="9" fontId="0" fillId="0" borderId="5" xfId="0" applyNumberFormat="1" applyBorder="1"/>
    <xf numFmtId="9" fontId="0" fillId="0" borderId="8" xfId="0" applyNumberFormat="1" applyBorder="1"/>
    <xf numFmtId="9" fontId="0" fillId="0" borderId="14" xfId="0" applyNumberFormat="1" applyBorder="1"/>
    <xf numFmtId="44" fontId="0" fillId="0" borderId="3" xfId="0" applyNumberFormat="1" applyBorder="1"/>
    <xf numFmtId="44" fontId="0" fillId="0" borderId="5" xfId="0" applyNumberFormat="1" applyBorder="1"/>
    <xf numFmtId="0" fontId="5" fillId="0" borderId="2" xfId="0" applyFont="1" applyBorder="1"/>
    <xf numFmtId="0" fontId="5" fillId="0" borderId="4" xfId="0" applyFont="1" applyBorder="1"/>
    <xf numFmtId="0" fontId="5" fillId="0" borderId="6" xfId="0" applyFont="1" applyBorder="1"/>
    <xf numFmtId="44" fontId="0" fillId="0" borderId="8" xfId="0" applyNumberFormat="1" applyBorder="1"/>
    <xf numFmtId="0" fontId="0" fillId="0" borderId="11" xfId="0" applyBorder="1"/>
    <xf numFmtId="44" fontId="0" fillId="0" borderId="14" xfId="0" applyNumberForma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3" fillId="0" borderId="9" xfId="0" applyFont="1" applyBorder="1"/>
  </cellXfs>
  <cellStyles count="1">
    <cellStyle name="Normal" xfId="0" builtinId="0"/>
  </cellStyles>
  <dxfs count="14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medium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Dashboard!$B$20</c:f>
              <c:strCache>
                <c:ptCount val="1"/>
                <c:pt idx="0">
                  <c:v>Total_Revenue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Dashboard!$A$21:$A$26</c:f>
              <c:strCache>
                <c:ptCount val="6"/>
                <c:pt idx="0">
                  <c:v>Dubai</c:v>
                </c:pt>
                <c:pt idx="1">
                  <c:v>Abu Dhabi</c:v>
                </c:pt>
                <c:pt idx="2">
                  <c:v>Ras Al Khaimah</c:v>
                </c:pt>
                <c:pt idx="3">
                  <c:v>Ajman</c:v>
                </c:pt>
                <c:pt idx="4">
                  <c:v>Sharjah</c:v>
                </c:pt>
                <c:pt idx="5">
                  <c:v>Fujairah</c:v>
                </c:pt>
              </c:strCache>
            </c:strRef>
          </c:cat>
          <c:val>
            <c:numRef>
              <c:f>Dashboard!$B$21:$B$26</c:f>
              <c:numCache>
                <c:formatCode>_("$"* #,##0.00_);_("$"* \(#,##0.00\);_("$"* "-"??_);_(@_)</c:formatCode>
                <c:ptCount val="6"/>
                <c:pt idx="0">
                  <c:v>12027824</c:v>
                </c:pt>
                <c:pt idx="1">
                  <c:v>15673002</c:v>
                </c:pt>
                <c:pt idx="2">
                  <c:v>14531425</c:v>
                </c:pt>
                <c:pt idx="3">
                  <c:v>10439564</c:v>
                </c:pt>
                <c:pt idx="4">
                  <c:v>13465007</c:v>
                </c:pt>
                <c:pt idx="5">
                  <c:v>9940048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F-4D6E-B8F9-2BE7CFD65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Dashboard!$G$20</c:f>
              <c:strCache>
                <c:ptCount val="1"/>
                <c:pt idx="0">
                  <c:v>Month_Revenue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Dashboard!$F$21:$F$32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Dashboard!$G$21:$G$32</c:f>
              <c:numCache>
                <c:formatCode>General</c:formatCode>
                <c:ptCount val="12"/>
                <c:pt idx="0">
                  <c:v>5546661</c:v>
                </c:pt>
                <c:pt idx="1">
                  <c:v>8167921</c:v>
                </c:pt>
                <c:pt idx="2">
                  <c:v>4324115</c:v>
                </c:pt>
                <c:pt idx="3">
                  <c:v>7398886</c:v>
                </c:pt>
                <c:pt idx="4">
                  <c:v>9608236</c:v>
                </c:pt>
                <c:pt idx="5">
                  <c:v>5147354</c:v>
                </c:pt>
                <c:pt idx="6">
                  <c:v>5890686</c:v>
                </c:pt>
                <c:pt idx="7">
                  <c:v>7046430</c:v>
                </c:pt>
                <c:pt idx="8">
                  <c:v>5633655</c:v>
                </c:pt>
                <c:pt idx="9">
                  <c:v>5784125</c:v>
                </c:pt>
                <c:pt idx="10">
                  <c:v>5168435</c:v>
                </c:pt>
                <c:pt idx="11">
                  <c:v>6360366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E-47A4-8C4B-C9E4E9361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4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RawData" displayName="Table_RawData" ref="A1:K601" headerRowDxfId="13" totalsRowDxfId="12" headerRowBorderDxfId="11">
  <autoFilter ref="A1:K601" xr:uid="{00000000-0009-0000-0100-000001000000}"/>
  <tableColumns count="11">
    <tableColumn id="1" xr3:uid="{00000000-0010-0000-0000-000001000000}" name="Order_ID" dataDxfId="10"/>
    <tableColumn id="2" xr3:uid="{00000000-0010-0000-0000-000002000000}" name="Date" dataDxfId="9"/>
    <tableColumn id="3" xr3:uid="{00000000-0010-0000-0000-000003000000}" name="Region" dataDxfId="8"/>
    <tableColumn id="4" xr3:uid="{00000000-0010-0000-0000-000004000000}" name="Sales_Rep" dataDxfId="7"/>
    <tableColumn id="5" xr3:uid="{00000000-0010-0000-0000-000005000000}" name="Product_Category" dataDxfId="6"/>
    <tableColumn id="6" xr3:uid="{00000000-0010-0000-0000-000006000000}" name="Product" dataDxfId="5"/>
    <tableColumn id="7" xr3:uid="{00000000-0010-0000-0000-000007000000}" name="Units" dataDxfId="4"/>
    <tableColumn id="8" xr3:uid="{00000000-0010-0000-0000-000008000000}" name="Unit_Price" dataDxfId="3"/>
    <tableColumn id="9" xr3:uid="{00000000-0010-0000-0000-000009000000}" name="Discount" dataDxfId="2"/>
    <tableColumn id="10" xr3:uid="{00000000-0010-0000-0000-00000A000000}" name="Revenue" dataDxfId="1"/>
    <tableColumn id="11" xr3:uid="{00000000-0010-0000-0000-00000B000000}" name="Profit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Reps" displayName="Table_Reps" ref="A1:B12">
  <autoFilter ref="A1:B12" xr:uid="{00000000-0009-0000-0100-000002000000}"/>
  <tableColumns count="2">
    <tableColumn id="1" xr3:uid="{00000000-0010-0000-0100-000001000000}" name="Top Sales Representatives (Total Revenue)"/>
    <tableColumn id="2" xr3:uid="{00000000-0010-0000-0100-000002000000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1"/>
  <sheetViews>
    <sheetView tabSelected="1" workbookViewId="0"/>
  </sheetViews>
  <sheetFormatPr defaultRowHeight="15"/>
  <cols>
    <col min="1" max="1" width="11.28515625" bestFit="1" customWidth="1"/>
    <col min="2" max="2" width="17.85546875" bestFit="1" customWidth="1"/>
    <col min="3" max="3" width="14.140625" bestFit="1" customWidth="1"/>
    <col min="4" max="4" width="12.140625" bestFit="1" customWidth="1"/>
    <col min="5" max="5" width="19.140625" bestFit="1" customWidth="1"/>
    <col min="6" max="6" width="19.42578125" bestFit="1" customWidth="1"/>
    <col min="7" max="7" width="7.85546875" bestFit="1" customWidth="1"/>
    <col min="8" max="8" width="12.42578125" bestFit="1" customWidth="1"/>
    <col min="9" max="9" width="11" bestFit="1" customWidth="1"/>
    <col min="10" max="10" width="10.85546875" bestFit="1" customWidth="1"/>
    <col min="11" max="11" width="10.140625" bestFit="1" customWidth="1"/>
    <col min="12" max="12" width="8" bestFit="1" customWidth="1"/>
    <col min="13" max="13" width="7.85546875" bestFit="1" customWidth="1"/>
    <col min="14" max="14" width="13.28515625" bestFit="1" customWidth="1"/>
    <col min="16" max="16" width="15.42578125" bestFit="1" customWidth="1"/>
    <col min="20" max="20" width="16.28515625" bestFit="1" customWidth="1"/>
    <col min="21" max="21" width="12.7109375" bestFit="1" customWidth="1"/>
  </cols>
  <sheetData>
    <row r="1" spans="1:2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4" t="s">
        <v>13</v>
      </c>
    </row>
    <row r="2" spans="1:21">
      <c r="A2" s="15">
        <v>10001</v>
      </c>
      <c r="B2" s="16">
        <v>45472</v>
      </c>
      <c r="C2" s="17" t="s">
        <v>14</v>
      </c>
      <c r="D2" s="17" t="s">
        <v>15</v>
      </c>
      <c r="E2" s="17" t="s">
        <v>16</v>
      </c>
      <c r="F2" s="17" t="s">
        <v>17</v>
      </c>
      <c r="G2" s="17">
        <v>6</v>
      </c>
      <c r="H2" s="17">
        <v>2542</v>
      </c>
      <c r="I2" s="17">
        <v>0.01</v>
      </c>
      <c r="J2" s="17">
        <v>15252</v>
      </c>
      <c r="K2" s="17">
        <f t="shared" ref="K2:K65" si="0">J2*N2</f>
        <v>3050.4</v>
      </c>
      <c r="L2" s="17" t="s">
        <v>18</v>
      </c>
      <c r="M2" s="17" t="s">
        <v>19</v>
      </c>
      <c r="N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  <c r="P2" s="19"/>
    </row>
    <row r="3" spans="1:21">
      <c r="A3" s="6">
        <v>10002</v>
      </c>
      <c r="B3" s="5">
        <v>45631</v>
      </c>
      <c r="C3" s="4" t="s">
        <v>14</v>
      </c>
      <c r="D3" s="4" t="s">
        <v>20</v>
      </c>
      <c r="E3" s="4" t="s">
        <v>21</v>
      </c>
      <c r="F3" s="4" t="s">
        <v>22</v>
      </c>
      <c r="G3" s="4">
        <v>2</v>
      </c>
      <c r="H3" s="4">
        <v>18924</v>
      </c>
      <c r="I3" s="4">
        <v>0</v>
      </c>
      <c r="J3" s="4">
        <v>37848</v>
      </c>
      <c r="K3" s="4">
        <f t="shared" si="0"/>
        <v>11354.4</v>
      </c>
      <c r="L3" s="4" t="s">
        <v>23</v>
      </c>
      <c r="M3" s="4" t="s">
        <v>24</v>
      </c>
      <c r="N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" spans="1:21">
      <c r="A4" s="6">
        <v>10003</v>
      </c>
      <c r="B4" s="5">
        <v>45338</v>
      </c>
      <c r="C4" s="4" t="s">
        <v>25</v>
      </c>
      <c r="D4" s="4" t="s">
        <v>26</v>
      </c>
      <c r="E4" s="4" t="s">
        <v>27</v>
      </c>
      <c r="F4" s="4" t="s">
        <v>28</v>
      </c>
      <c r="G4" s="4">
        <v>4</v>
      </c>
      <c r="H4" s="4">
        <v>27256</v>
      </c>
      <c r="I4" s="4">
        <v>0.02</v>
      </c>
      <c r="J4" s="4">
        <v>109024</v>
      </c>
      <c r="K4" s="4">
        <f t="shared" si="0"/>
        <v>10902.400000000001</v>
      </c>
      <c r="L4" s="4" t="s">
        <v>29</v>
      </c>
      <c r="M4" s="4" t="s">
        <v>30</v>
      </c>
      <c r="N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  <c r="P4" s="19"/>
    </row>
    <row r="5" spans="1:21">
      <c r="A5" s="6">
        <v>10004</v>
      </c>
      <c r="B5" s="5">
        <v>45463</v>
      </c>
      <c r="C5" s="4" t="s">
        <v>31</v>
      </c>
      <c r="D5" s="4" t="s">
        <v>32</v>
      </c>
      <c r="E5" s="4" t="s">
        <v>33</v>
      </c>
      <c r="F5" s="4" t="s">
        <v>34</v>
      </c>
      <c r="G5" s="4">
        <v>6</v>
      </c>
      <c r="H5" s="4">
        <v>27790</v>
      </c>
      <c r="I5" s="4">
        <v>0.02</v>
      </c>
      <c r="J5" s="4">
        <v>166740</v>
      </c>
      <c r="K5" s="4">
        <f t="shared" si="0"/>
        <v>41685</v>
      </c>
      <c r="L5" s="4" t="s">
        <v>18</v>
      </c>
      <c r="M5" s="4" t="s">
        <v>19</v>
      </c>
      <c r="N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6" spans="1:21">
      <c r="A6" s="6">
        <v>10005</v>
      </c>
      <c r="B6" s="5">
        <v>45406</v>
      </c>
      <c r="C6" s="4" t="s">
        <v>35</v>
      </c>
      <c r="D6" s="4" t="s">
        <v>36</v>
      </c>
      <c r="E6" s="4" t="s">
        <v>27</v>
      </c>
      <c r="F6" s="4" t="s">
        <v>28</v>
      </c>
      <c r="G6" s="4">
        <v>4</v>
      </c>
      <c r="H6" s="4">
        <v>14116</v>
      </c>
      <c r="I6" s="4">
        <v>0.02</v>
      </c>
      <c r="J6" s="4">
        <v>56464</v>
      </c>
      <c r="K6" s="4">
        <f t="shared" si="0"/>
        <v>5646.4000000000005</v>
      </c>
      <c r="L6" s="4" t="s">
        <v>37</v>
      </c>
      <c r="M6" s="4" t="s">
        <v>19</v>
      </c>
      <c r="N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7" spans="1:21">
      <c r="A7" s="6">
        <v>10006</v>
      </c>
      <c r="B7" s="5">
        <v>45394</v>
      </c>
      <c r="C7" s="4" t="s">
        <v>31</v>
      </c>
      <c r="D7" s="4" t="s">
        <v>38</v>
      </c>
      <c r="E7" s="4" t="s">
        <v>27</v>
      </c>
      <c r="F7" s="4" t="s">
        <v>28</v>
      </c>
      <c r="G7" s="4">
        <v>1</v>
      </c>
      <c r="H7" s="4">
        <v>24960</v>
      </c>
      <c r="I7" s="4">
        <v>0.05</v>
      </c>
      <c r="J7" s="4">
        <v>24960</v>
      </c>
      <c r="K7" s="4">
        <f t="shared" si="0"/>
        <v>2496</v>
      </c>
      <c r="L7" s="4" t="s">
        <v>37</v>
      </c>
      <c r="M7" s="4" t="s">
        <v>19</v>
      </c>
      <c r="N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  <c r="T7" s="21" t="s">
        <v>39</v>
      </c>
      <c r="U7" s="22" t="s">
        <v>40</v>
      </c>
    </row>
    <row r="8" spans="1:21">
      <c r="A8" s="6">
        <v>10007</v>
      </c>
      <c r="B8" s="5">
        <v>45353</v>
      </c>
      <c r="C8" s="4" t="s">
        <v>35</v>
      </c>
      <c r="D8" s="4" t="s">
        <v>41</v>
      </c>
      <c r="E8" s="4" t="s">
        <v>21</v>
      </c>
      <c r="F8" s="4" t="s">
        <v>22</v>
      </c>
      <c r="G8" s="4">
        <v>6</v>
      </c>
      <c r="H8" s="4">
        <v>28860</v>
      </c>
      <c r="I8" s="4">
        <v>0.02</v>
      </c>
      <c r="J8" s="4">
        <v>173160</v>
      </c>
      <c r="K8" s="4">
        <f t="shared" si="0"/>
        <v>51948</v>
      </c>
      <c r="L8" s="4" t="s">
        <v>42</v>
      </c>
      <c r="M8" s="4" t="s">
        <v>30</v>
      </c>
      <c r="N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  <c r="T8" s="15" t="s">
        <v>16</v>
      </c>
      <c r="U8" s="25">
        <v>0.2</v>
      </c>
    </row>
    <row r="9" spans="1:21">
      <c r="A9" s="6">
        <v>10008</v>
      </c>
      <c r="B9" s="5">
        <v>45616</v>
      </c>
      <c r="C9" s="4" t="s">
        <v>43</v>
      </c>
      <c r="D9" s="4" t="s">
        <v>44</v>
      </c>
      <c r="E9" s="4" t="s">
        <v>45</v>
      </c>
      <c r="F9" s="4" t="s">
        <v>46</v>
      </c>
      <c r="G9" s="4">
        <v>9</v>
      </c>
      <c r="H9" s="4">
        <v>49529</v>
      </c>
      <c r="I9" s="4">
        <v>0.02</v>
      </c>
      <c r="J9" s="4">
        <v>445761</v>
      </c>
      <c r="K9" s="4">
        <f t="shared" si="0"/>
        <v>156016.34999999998</v>
      </c>
      <c r="L9" s="4" t="s">
        <v>47</v>
      </c>
      <c r="M9" s="4" t="s">
        <v>24</v>
      </c>
      <c r="N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  <c r="T9" s="6" t="s">
        <v>21</v>
      </c>
      <c r="U9" s="23">
        <v>0.3</v>
      </c>
    </row>
    <row r="10" spans="1:21">
      <c r="A10" s="6">
        <v>10009</v>
      </c>
      <c r="B10" s="5">
        <v>45419</v>
      </c>
      <c r="C10" s="4" t="s">
        <v>48</v>
      </c>
      <c r="D10" s="4" t="s">
        <v>26</v>
      </c>
      <c r="E10" s="4" t="s">
        <v>16</v>
      </c>
      <c r="F10" s="4" t="s">
        <v>49</v>
      </c>
      <c r="G10" s="4">
        <v>3</v>
      </c>
      <c r="H10" s="4">
        <v>20087</v>
      </c>
      <c r="I10" s="4">
        <v>0.02</v>
      </c>
      <c r="J10" s="4">
        <v>60261</v>
      </c>
      <c r="K10" s="4">
        <f t="shared" si="0"/>
        <v>12052.2</v>
      </c>
      <c r="L10" s="4" t="s">
        <v>50</v>
      </c>
      <c r="M10" s="4" t="s">
        <v>19</v>
      </c>
      <c r="N1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  <c r="T10" s="6" t="s">
        <v>27</v>
      </c>
      <c r="U10" s="23">
        <v>0.1</v>
      </c>
    </row>
    <row r="11" spans="1:21">
      <c r="A11" s="6">
        <v>10010</v>
      </c>
      <c r="B11" s="5">
        <v>45379</v>
      </c>
      <c r="C11" s="4" t="s">
        <v>31</v>
      </c>
      <c r="D11" s="4" t="s">
        <v>51</v>
      </c>
      <c r="E11" s="4" t="s">
        <v>21</v>
      </c>
      <c r="F11" s="4" t="s">
        <v>52</v>
      </c>
      <c r="G11" s="4">
        <v>5</v>
      </c>
      <c r="H11" s="4">
        <v>30703</v>
      </c>
      <c r="I11" s="4">
        <v>0.01</v>
      </c>
      <c r="J11" s="4">
        <v>153515</v>
      </c>
      <c r="K11" s="4">
        <f t="shared" si="0"/>
        <v>46054.5</v>
      </c>
      <c r="L11" s="4" t="s">
        <v>42</v>
      </c>
      <c r="M11" s="4" t="s">
        <v>30</v>
      </c>
      <c r="N1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  <c r="T11" s="6" t="s">
        <v>45</v>
      </c>
      <c r="U11" s="23">
        <v>0.35</v>
      </c>
    </row>
    <row r="12" spans="1:21">
      <c r="A12" s="6">
        <v>10011</v>
      </c>
      <c r="B12" s="5">
        <v>45479</v>
      </c>
      <c r="C12" s="4" t="s">
        <v>31</v>
      </c>
      <c r="D12" s="4" t="s">
        <v>41</v>
      </c>
      <c r="E12" s="4" t="s">
        <v>21</v>
      </c>
      <c r="F12" s="4" t="s">
        <v>52</v>
      </c>
      <c r="G12" s="4">
        <v>9</v>
      </c>
      <c r="H12" s="4">
        <v>5835</v>
      </c>
      <c r="I12" s="4">
        <v>0.05</v>
      </c>
      <c r="J12" s="4">
        <v>52515</v>
      </c>
      <c r="K12" s="4">
        <f t="shared" si="0"/>
        <v>15754.5</v>
      </c>
      <c r="L12" s="4" t="s">
        <v>53</v>
      </c>
      <c r="M12" s="4" t="s">
        <v>54</v>
      </c>
      <c r="N1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  <c r="T12" s="8" t="s">
        <v>33</v>
      </c>
      <c r="U12" s="24">
        <v>0.25</v>
      </c>
    </row>
    <row r="13" spans="1:21">
      <c r="A13" s="6">
        <v>10012</v>
      </c>
      <c r="B13" s="5">
        <v>45549</v>
      </c>
      <c r="C13" s="4" t="s">
        <v>25</v>
      </c>
      <c r="D13" s="4" t="s">
        <v>41</v>
      </c>
      <c r="E13" s="4" t="s">
        <v>16</v>
      </c>
      <c r="F13" s="4" t="s">
        <v>49</v>
      </c>
      <c r="G13" s="4">
        <v>4</v>
      </c>
      <c r="H13" s="4">
        <v>36547</v>
      </c>
      <c r="I13" s="4">
        <v>0.05</v>
      </c>
      <c r="J13" s="4">
        <v>146188</v>
      </c>
      <c r="K13" s="4">
        <f t="shared" si="0"/>
        <v>29237.600000000002</v>
      </c>
      <c r="L13" s="4" t="s">
        <v>55</v>
      </c>
      <c r="M13" s="4" t="s">
        <v>54</v>
      </c>
      <c r="N1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4" spans="1:21">
      <c r="A14" s="6">
        <v>10013</v>
      </c>
      <c r="B14" s="5">
        <v>45646</v>
      </c>
      <c r="C14" s="4" t="s">
        <v>48</v>
      </c>
      <c r="D14" s="4" t="s">
        <v>36</v>
      </c>
      <c r="E14" s="4" t="s">
        <v>27</v>
      </c>
      <c r="F14" s="4" t="s">
        <v>28</v>
      </c>
      <c r="G14" s="4">
        <v>3</v>
      </c>
      <c r="H14" s="4">
        <v>5804</v>
      </c>
      <c r="I14" s="4">
        <v>0.02</v>
      </c>
      <c r="J14" s="4">
        <v>17412</v>
      </c>
      <c r="K14" s="4">
        <f t="shared" si="0"/>
        <v>1741.2</v>
      </c>
      <c r="L14" s="4" t="s">
        <v>23</v>
      </c>
      <c r="M14" s="4" t="s">
        <v>24</v>
      </c>
      <c r="N1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5" spans="1:21">
      <c r="A15" s="6">
        <v>10014</v>
      </c>
      <c r="B15" s="5">
        <v>45387</v>
      </c>
      <c r="C15" s="4" t="s">
        <v>14</v>
      </c>
      <c r="D15" s="4" t="s">
        <v>41</v>
      </c>
      <c r="E15" s="4" t="s">
        <v>21</v>
      </c>
      <c r="F15" s="4" t="s">
        <v>52</v>
      </c>
      <c r="G15" s="4">
        <v>7</v>
      </c>
      <c r="H15" s="4">
        <v>2015</v>
      </c>
      <c r="I15" s="4">
        <v>0</v>
      </c>
      <c r="J15" s="4">
        <v>14105</v>
      </c>
      <c r="K15" s="4">
        <f t="shared" si="0"/>
        <v>4231.5</v>
      </c>
      <c r="L15" s="4" t="s">
        <v>37</v>
      </c>
      <c r="M15" s="4" t="s">
        <v>19</v>
      </c>
      <c r="N1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6" spans="1:21">
      <c r="A16" s="6">
        <v>10015</v>
      </c>
      <c r="B16" s="5">
        <v>45345</v>
      </c>
      <c r="C16" s="4" t="s">
        <v>25</v>
      </c>
      <c r="D16" s="4" t="s">
        <v>41</v>
      </c>
      <c r="E16" s="4" t="s">
        <v>21</v>
      </c>
      <c r="F16" s="4" t="s">
        <v>56</v>
      </c>
      <c r="G16" s="4">
        <v>9</v>
      </c>
      <c r="H16" s="4">
        <v>21309</v>
      </c>
      <c r="I16" s="4">
        <v>0.02</v>
      </c>
      <c r="J16" s="4">
        <v>191781</v>
      </c>
      <c r="K16" s="4">
        <f t="shared" si="0"/>
        <v>57534.299999999996</v>
      </c>
      <c r="L16" s="4" t="s">
        <v>29</v>
      </c>
      <c r="M16" s="4" t="s">
        <v>30</v>
      </c>
      <c r="N1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7" spans="1:14">
      <c r="A17" s="6">
        <v>10016</v>
      </c>
      <c r="B17" s="5">
        <v>45640</v>
      </c>
      <c r="C17" s="4" t="s">
        <v>25</v>
      </c>
      <c r="D17" s="4" t="s">
        <v>32</v>
      </c>
      <c r="E17" s="4" t="s">
        <v>16</v>
      </c>
      <c r="F17" s="4" t="s">
        <v>17</v>
      </c>
      <c r="G17" s="4">
        <v>1</v>
      </c>
      <c r="H17" s="4">
        <v>1404</v>
      </c>
      <c r="I17" s="4">
        <v>0.05</v>
      </c>
      <c r="J17" s="4">
        <v>1404</v>
      </c>
      <c r="K17" s="4">
        <f t="shared" si="0"/>
        <v>280.8</v>
      </c>
      <c r="L17" s="4" t="s">
        <v>23</v>
      </c>
      <c r="M17" s="4" t="s">
        <v>24</v>
      </c>
      <c r="N1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8" spans="1:14">
      <c r="A18" s="6">
        <v>10017</v>
      </c>
      <c r="B18" s="5">
        <v>45576</v>
      </c>
      <c r="C18" s="4" t="s">
        <v>35</v>
      </c>
      <c r="D18" s="4" t="s">
        <v>41</v>
      </c>
      <c r="E18" s="4" t="s">
        <v>45</v>
      </c>
      <c r="F18" s="4" t="s">
        <v>57</v>
      </c>
      <c r="G18" s="4">
        <v>6</v>
      </c>
      <c r="H18" s="4">
        <v>16106</v>
      </c>
      <c r="I18" s="4">
        <v>0</v>
      </c>
      <c r="J18" s="4">
        <v>96636</v>
      </c>
      <c r="K18" s="4">
        <f t="shared" si="0"/>
        <v>33822.6</v>
      </c>
      <c r="L18" s="4" t="s">
        <v>58</v>
      </c>
      <c r="M18" s="4" t="s">
        <v>24</v>
      </c>
      <c r="N1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9" spans="1:14">
      <c r="A19" s="6">
        <v>10018</v>
      </c>
      <c r="B19" s="5">
        <v>45633</v>
      </c>
      <c r="C19" s="4" t="s">
        <v>14</v>
      </c>
      <c r="D19" s="4" t="s">
        <v>32</v>
      </c>
      <c r="E19" s="4" t="s">
        <v>33</v>
      </c>
      <c r="F19" s="4" t="s">
        <v>34</v>
      </c>
      <c r="G19" s="4">
        <v>1</v>
      </c>
      <c r="H19" s="4">
        <v>49212</v>
      </c>
      <c r="I19" s="4">
        <v>0.01</v>
      </c>
      <c r="J19" s="4">
        <v>49212</v>
      </c>
      <c r="K19" s="4">
        <f t="shared" si="0"/>
        <v>12303</v>
      </c>
      <c r="L19" s="4" t="s">
        <v>23</v>
      </c>
      <c r="M19" s="4" t="s">
        <v>24</v>
      </c>
      <c r="N1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0" spans="1:14">
      <c r="A20" s="6">
        <v>10019</v>
      </c>
      <c r="B20" s="5">
        <v>45394</v>
      </c>
      <c r="C20" s="4" t="s">
        <v>35</v>
      </c>
      <c r="D20" s="4" t="s">
        <v>44</v>
      </c>
      <c r="E20" s="4" t="s">
        <v>27</v>
      </c>
      <c r="F20" s="4" t="s">
        <v>28</v>
      </c>
      <c r="G20" s="4">
        <v>1</v>
      </c>
      <c r="H20" s="4">
        <v>38744</v>
      </c>
      <c r="I20" s="4">
        <v>0.05</v>
      </c>
      <c r="J20" s="4">
        <v>38744</v>
      </c>
      <c r="K20" s="4">
        <f t="shared" si="0"/>
        <v>3874.4</v>
      </c>
      <c r="L20" s="4" t="s">
        <v>37</v>
      </c>
      <c r="M20" s="4" t="s">
        <v>19</v>
      </c>
      <c r="N2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1" spans="1:14">
      <c r="A21" s="6">
        <v>10020</v>
      </c>
      <c r="B21" s="5">
        <v>45562</v>
      </c>
      <c r="C21" s="4" t="s">
        <v>14</v>
      </c>
      <c r="D21" s="4" t="s">
        <v>20</v>
      </c>
      <c r="E21" s="4" t="s">
        <v>45</v>
      </c>
      <c r="F21" s="4" t="s">
        <v>46</v>
      </c>
      <c r="G21" s="4">
        <v>2</v>
      </c>
      <c r="H21" s="4">
        <v>44125</v>
      </c>
      <c r="I21" s="4">
        <v>0.02</v>
      </c>
      <c r="J21" s="4">
        <v>88250</v>
      </c>
      <c r="K21" s="4">
        <f t="shared" si="0"/>
        <v>30887.499999999996</v>
      </c>
      <c r="L21" s="4" t="s">
        <v>55</v>
      </c>
      <c r="M21" s="4" t="s">
        <v>54</v>
      </c>
      <c r="N2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2" spans="1:14">
      <c r="A22" s="6">
        <v>10021</v>
      </c>
      <c r="B22" s="5">
        <v>45324</v>
      </c>
      <c r="C22" s="4" t="s">
        <v>48</v>
      </c>
      <c r="D22" s="4" t="s">
        <v>41</v>
      </c>
      <c r="E22" s="4" t="s">
        <v>45</v>
      </c>
      <c r="F22" s="4" t="s">
        <v>57</v>
      </c>
      <c r="G22" s="4">
        <v>9</v>
      </c>
      <c r="H22" s="4">
        <v>23928</v>
      </c>
      <c r="I22" s="4">
        <v>0.05</v>
      </c>
      <c r="J22" s="4">
        <v>215352</v>
      </c>
      <c r="K22" s="4">
        <f t="shared" si="0"/>
        <v>75373.2</v>
      </c>
      <c r="L22" s="4" t="s">
        <v>29</v>
      </c>
      <c r="M22" s="4" t="s">
        <v>30</v>
      </c>
      <c r="N2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3" spans="1:14">
      <c r="A23" s="6">
        <v>10022</v>
      </c>
      <c r="B23" s="5">
        <v>45426</v>
      </c>
      <c r="C23" s="4" t="s">
        <v>48</v>
      </c>
      <c r="D23" s="4" t="s">
        <v>36</v>
      </c>
      <c r="E23" s="4" t="s">
        <v>33</v>
      </c>
      <c r="F23" s="4" t="s">
        <v>59</v>
      </c>
      <c r="G23" s="4">
        <v>3</v>
      </c>
      <c r="H23" s="4">
        <v>16781</v>
      </c>
      <c r="I23" s="4">
        <v>0.05</v>
      </c>
      <c r="J23" s="4">
        <v>50343</v>
      </c>
      <c r="K23" s="4">
        <f t="shared" si="0"/>
        <v>12585.75</v>
      </c>
      <c r="L23" s="4" t="s">
        <v>50</v>
      </c>
      <c r="M23" s="4" t="s">
        <v>19</v>
      </c>
      <c r="N2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4" spans="1:14">
      <c r="A24" s="6">
        <v>10023</v>
      </c>
      <c r="B24" s="5">
        <v>45324</v>
      </c>
      <c r="C24" s="4" t="s">
        <v>48</v>
      </c>
      <c r="D24" s="4" t="s">
        <v>32</v>
      </c>
      <c r="E24" s="4" t="s">
        <v>21</v>
      </c>
      <c r="F24" s="4" t="s">
        <v>52</v>
      </c>
      <c r="G24" s="4">
        <v>2</v>
      </c>
      <c r="H24" s="4">
        <v>18715</v>
      </c>
      <c r="I24" s="4">
        <v>0</v>
      </c>
      <c r="J24" s="4">
        <v>37430</v>
      </c>
      <c r="K24" s="4">
        <f t="shared" si="0"/>
        <v>11229</v>
      </c>
      <c r="L24" s="4" t="s">
        <v>29</v>
      </c>
      <c r="M24" s="4" t="s">
        <v>30</v>
      </c>
      <c r="N2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5" spans="1:14">
      <c r="A25" s="6">
        <v>10024</v>
      </c>
      <c r="B25" s="5">
        <v>45513</v>
      </c>
      <c r="C25" s="4" t="s">
        <v>14</v>
      </c>
      <c r="D25" s="4" t="s">
        <v>32</v>
      </c>
      <c r="E25" s="4" t="s">
        <v>45</v>
      </c>
      <c r="F25" s="4" t="s">
        <v>60</v>
      </c>
      <c r="G25" s="4">
        <v>1</v>
      </c>
      <c r="H25" s="4">
        <v>38660</v>
      </c>
      <c r="I25" s="4">
        <v>0.05</v>
      </c>
      <c r="J25" s="4">
        <v>38660</v>
      </c>
      <c r="K25" s="4">
        <f t="shared" si="0"/>
        <v>13531</v>
      </c>
      <c r="L25" s="4" t="s">
        <v>61</v>
      </c>
      <c r="M25" s="4" t="s">
        <v>54</v>
      </c>
      <c r="N2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6" spans="1:14">
      <c r="A26" s="6">
        <v>10025</v>
      </c>
      <c r="B26" s="5">
        <v>45609</v>
      </c>
      <c r="C26" s="4" t="s">
        <v>25</v>
      </c>
      <c r="D26" s="4" t="s">
        <v>44</v>
      </c>
      <c r="E26" s="4" t="s">
        <v>16</v>
      </c>
      <c r="F26" s="4" t="s">
        <v>17</v>
      </c>
      <c r="G26" s="4">
        <v>8</v>
      </c>
      <c r="H26" s="4">
        <v>37932</v>
      </c>
      <c r="I26" s="4">
        <v>0.01</v>
      </c>
      <c r="J26" s="4">
        <v>303456</v>
      </c>
      <c r="K26" s="4">
        <f t="shared" si="0"/>
        <v>60691.200000000004</v>
      </c>
      <c r="L26" s="4" t="s">
        <v>47</v>
      </c>
      <c r="M26" s="4" t="s">
        <v>24</v>
      </c>
      <c r="N2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7" spans="1:14">
      <c r="A27" s="6">
        <v>10026</v>
      </c>
      <c r="B27" s="5">
        <v>45556</v>
      </c>
      <c r="C27" s="4" t="s">
        <v>48</v>
      </c>
      <c r="D27" s="4" t="s">
        <v>32</v>
      </c>
      <c r="E27" s="4" t="s">
        <v>21</v>
      </c>
      <c r="F27" s="4" t="s">
        <v>22</v>
      </c>
      <c r="G27" s="4">
        <v>9</v>
      </c>
      <c r="H27" s="4">
        <v>25214</v>
      </c>
      <c r="I27" s="4">
        <v>0.02</v>
      </c>
      <c r="J27" s="4">
        <v>226926</v>
      </c>
      <c r="K27" s="4">
        <f t="shared" si="0"/>
        <v>68077.8</v>
      </c>
      <c r="L27" s="4" t="s">
        <v>55</v>
      </c>
      <c r="M27" s="4" t="s">
        <v>54</v>
      </c>
      <c r="N2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8" spans="1:14">
      <c r="A28" s="6">
        <v>10027</v>
      </c>
      <c r="B28" s="5">
        <v>45356</v>
      </c>
      <c r="C28" s="4" t="s">
        <v>31</v>
      </c>
      <c r="D28" s="4" t="s">
        <v>51</v>
      </c>
      <c r="E28" s="4" t="s">
        <v>27</v>
      </c>
      <c r="F28" s="4" t="s">
        <v>62</v>
      </c>
      <c r="G28" s="4">
        <v>4</v>
      </c>
      <c r="H28" s="4">
        <v>43679</v>
      </c>
      <c r="I28" s="4">
        <v>0</v>
      </c>
      <c r="J28" s="4">
        <v>174716</v>
      </c>
      <c r="K28" s="4">
        <f t="shared" si="0"/>
        <v>17471.600000000002</v>
      </c>
      <c r="L28" s="4" t="s">
        <v>42</v>
      </c>
      <c r="M28" s="4" t="s">
        <v>30</v>
      </c>
      <c r="N2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9" spans="1:14">
      <c r="A29" s="6">
        <v>10028</v>
      </c>
      <c r="B29" s="5">
        <v>45471</v>
      </c>
      <c r="C29" s="4" t="s">
        <v>14</v>
      </c>
      <c r="D29" s="4" t="s">
        <v>20</v>
      </c>
      <c r="E29" s="4" t="s">
        <v>27</v>
      </c>
      <c r="F29" s="4" t="s">
        <v>28</v>
      </c>
      <c r="G29" s="4">
        <v>3</v>
      </c>
      <c r="H29" s="4">
        <v>24954</v>
      </c>
      <c r="I29" s="4">
        <v>0</v>
      </c>
      <c r="J29" s="4">
        <v>74862</v>
      </c>
      <c r="K29" s="4">
        <f t="shared" si="0"/>
        <v>7486.2000000000007</v>
      </c>
      <c r="L29" s="4" t="s">
        <v>18</v>
      </c>
      <c r="M29" s="4" t="s">
        <v>19</v>
      </c>
      <c r="N2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0" spans="1:14">
      <c r="A30" s="6">
        <v>10029</v>
      </c>
      <c r="B30" s="5">
        <v>45377</v>
      </c>
      <c r="C30" s="4" t="s">
        <v>35</v>
      </c>
      <c r="D30" s="4" t="s">
        <v>26</v>
      </c>
      <c r="E30" s="4" t="s">
        <v>45</v>
      </c>
      <c r="F30" s="4" t="s">
        <v>60</v>
      </c>
      <c r="G30" s="4">
        <v>5</v>
      </c>
      <c r="H30" s="4">
        <v>40749</v>
      </c>
      <c r="I30" s="4">
        <v>0</v>
      </c>
      <c r="J30" s="4">
        <v>203745</v>
      </c>
      <c r="K30" s="4">
        <f t="shared" si="0"/>
        <v>71310.75</v>
      </c>
      <c r="L30" s="4" t="s">
        <v>42</v>
      </c>
      <c r="M30" s="4" t="s">
        <v>30</v>
      </c>
      <c r="N3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1" spans="1:14">
      <c r="A31" s="6">
        <v>10030</v>
      </c>
      <c r="B31" s="5">
        <v>45435</v>
      </c>
      <c r="C31" s="4" t="s">
        <v>48</v>
      </c>
      <c r="D31" s="4" t="s">
        <v>36</v>
      </c>
      <c r="E31" s="4" t="s">
        <v>45</v>
      </c>
      <c r="F31" s="4" t="s">
        <v>60</v>
      </c>
      <c r="G31" s="4">
        <v>1</v>
      </c>
      <c r="H31" s="4">
        <v>27329</v>
      </c>
      <c r="I31" s="4">
        <v>0</v>
      </c>
      <c r="J31" s="4">
        <v>27329</v>
      </c>
      <c r="K31" s="4">
        <f t="shared" si="0"/>
        <v>9565.15</v>
      </c>
      <c r="L31" s="4" t="s">
        <v>50</v>
      </c>
      <c r="M31" s="4" t="s">
        <v>19</v>
      </c>
      <c r="N3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2" spans="1:14">
      <c r="A32" s="6">
        <v>10031</v>
      </c>
      <c r="B32" s="5">
        <v>45493</v>
      </c>
      <c r="C32" s="4" t="s">
        <v>25</v>
      </c>
      <c r="D32" s="4" t="s">
        <v>26</v>
      </c>
      <c r="E32" s="4" t="s">
        <v>21</v>
      </c>
      <c r="F32" s="4" t="s">
        <v>22</v>
      </c>
      <c r="G32" s="4">
        <v>8</v>
      </c>
      <c r="H32" s="4">
        <v>46162</v>
      </c>
      <c r="I32" s="4">
        <v>0.02</v>
      </c>
      <c r="J32" s="4">
        <v>369296</v>
      </c>
      <c r="K32" s="4">
        <f t="shared" si="0"/>
        <v>110788.8</v>
      </c>
      <c r="L32" s="4" t="s">
        <v>53</v>
      </c>
      <c r="M32" s="4" t="s">
        <v>54</v>
      </c>
      <c r="N3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3" spans="1:14">
      <c r="A33" s="6">
        <v>10032</v>
      </c>
      <c r="B33" s="5">
        <v>45575</v>
      </c>
      <c r="C33" s="4" t="s">
        <v>31</v>
      </c>
      <c r="D33" s="4" t="s">
        <v>15</v>
      </c>
      <c r="E33" s="4" t="s">
        <v>16</v>
      </c>
      <c r="F33" s="4" t="s">
        <v>17</v>
      </c>
      <c r="G33" s="4">
        <v>8</v>
      </c>
      <c r="H33" s="4">
        <v>15178</v>
      </c>
      <c r="I33" s="4">
        <v>0</v>
      </c>
      <c r="J33" s="4">
        <v>121424</v>
      </c>
      <c r="K33" s="4">
        <f t="shared" si="0"/>
        <v>24284.800000000003</v>
      </c>
      <c r="L33" s="4" t="s">
        <v>58</v>
      </c>
      <c r="M33" s="4" t="s">
        <v>24</v>
      </c>
      <c r="N3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4" spans="1:14">
      <c r="A34" s="6">
        <v>10033</v>
      </c>
      <c r="B34" s="5">
        <v>45426</v>
      </c>
      <c r="C34" s="4" t="s">
        <v>48</v>
      </c>
      <c r="D34" s="4" t="s">
        <v>51</v>
      </c>
      <c r="E34" s="4" t="s">
        <v>21</v>
      </c>
      <c r="F34" s="4" t="s">
        <v>56</v>
      </c>
      <c r="G34" s="4">
        <v>2</v>
      </c>
      <c r="H34" s="4">
        <v>17748</v>
      </c>
      <c r="I34" s="4">
        <v>0.01</v>
      </c>
      <c r="J34" s="4">
        <v>35496</v>
      </c>
      <c r="K34" s="4">
        <f t="shared" si="0"/>
        <v>10648.8</v>
      </c>
      <c r="L34" s="4" t="s">
        <v>50</v>
      </c>
      <c r="M34" s="4" t="s">
        <v>19</v>
      </c>
      <c r="N3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5" spans="1:14">
      <c r="A35" s="6">
        <v>10034</v>
      </c>
      <c r="B35" s="5">
        <v>45521</v>
      </c>
      <c r="C35" s="4" t="s">
        <v>43</v>
      </c>
      <c r="D35" s="4" t="s">
        <v>63</v>
      </c>
      <c r="E35" s="4" t="s">
        <v>27</v>
      </c>
      <c r="F35" s="4" t="s">
        <v>64</v>
      </c>
      <c r="G35" s="4">
        <v>2</v>
      </c>
      <c r="H35" s="4">
        <v>41441</v>
      </c>
      <c r="I35" s="4">
        <v>0.01</v>
      </c>
      <c r="J35" s="4">
        <v>82882</v>
      </c>
      <c r="K35" s="4">
        <f t="shared" si="0"/>
        <v>8288.2000000000007</v>
      </c>
      <c r="L35" s="4" t="s">
        <v>61</v>
      </c>
      <c r="M35" s="4" t="s">
        <v>54</v>
      </c>
      <c r="N3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6" spans="1:14">
      <c r="A36" s="6">
        <v>10035</v>
      </c>
      <c r="B36" s="5">
        <v>45443</v>
      </c>
      <c r="C36" s="4" t="s">
        <v>35</v>
      </c>
      <c r="D36" s="4" t="s">
        <v>20</v>
      </c>
      <c r="E36" s="4" t="s">
        <v>16</v>
      </c>
      <c r="F36" s="4" t="s">
        <v>65</v>
      </c>
      <c r="G36" s="4">
        <v>7</v>
      </c>
      <c r="H36" s="4">
        <v>30926</v>
      </c>
      <c r="I36" s="4">
        <v>0.01</v>
      </c>
      <c r="J36" s="4">
        <v>216482</v>
      </c>
      <c r="K36" s="4">
        <f t="shared" si="0"/>
        <v>43296.4</v>
      </c>
      <c r="L36" s="4" t="s">
        <v>50</v>
      </c>
      <c r="M36" s="4" t="s">
        <v>19</v>
      </c>
      <c r="N3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7" spans="1:14">
      <c r="A37" s="6">
        <v>10036</v>
      </c>
      <c r="B37" s="5">
        <v>45392</v>
      </c>
      <c r="C37" s="4" t="s">
        <v>25</v>
      </c>
      <c r="D37" s="4" t="s">
        <v>44</v>
      </c>
      <c r="E37" s="4" t="s">
        <v>45</v>
      </c>
      <c r="F37" s="4" t="s">
        <v>57</v>
      </c>
      <c r="G37" s="4">
        <v>9</v>
      </c>
      <c r="H37" s="4">
        <v>43563</v>
      </c>
      <c r="I37" s="4">
        <v>0.01</v>
      </c>
      <c r="J37" s="4">
        <v>392067</v>
      </c>
      <c r="K37" s="4">
        <f t="shared" si="0"/>
        <v>137223.44999999998</v>
      </c>
      <c r="L37" s="4" t="s">
        <v>37</v>
      </c>
      <c r="M37" s="4" t="s">
        <v>19</v>
      </c>
      <c r="N3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8" spans="1:14">
      <c r="A38" s="6">
        <v>10037</v>
      </c>
      <c r="B38" s="5">
        <v>45435</v>
      </c>
      <c r="C38" s="4" t="s">
        <v>31</v>
      </c>
      <c r="D38" s="4" t="s">
        <v>26</v>
      </c>
      <c r="E38" s="4" t="s">
        <v>33</v>
      </c>
      <c r="F38" s="4" t="s">
        <v>34</v>
      </c>
      <c r="G38" s="4">
        <v>2</v>
      </c>
      <c r="H38" s="4">
        <v>13910</v>
      </c>
      <c r="I38" s="4">
        <v>0.05</v>
      </c>
      <c r="J38" s="4">
        <v>27820</v>
      </c>
      <c r="K38" s="4">
        <f t="shared" si="0"/>
        <v>6955</v>
      </c>
      <c r="L38" s="4" t="s">
        <v>50</v>
      </c>
      <c r="M38" s="4" t="s">
        <v>19</v>
      </c>
      <c r="N3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9" spans="1:14">
      <c r="A39" s="6">
        <v>10038</v>
      </c>
      <c r="B39" s="5">
        <v>45395</v>
      </c>
      <c r="C39" s="4" t="s">
        <v>14</v>
      </c>
      <c r="D39" s="4" t="s">
        <v>38</v>
      </c>
      <c r="E39" s="4" t="s">
        <v>45</v>
      </c>
      <c r="F39" s="4" t="s">
        <v>46</v>
      </c>
      <c r="G39" s="4">
        <v>5</v>
      </c>
      <c r="H39" s="4">
        <v>20123</v>
      </c>
      <c r="I39" s="4">
        <v>0.01</v>
      </c>
      <c r="J39" s="4">
        <v>100615</v>
      </c>
      <c r="K39" s="4">
        <f t="shared" si="0"/>
        <v>35215.25</v>
      </c>
      <c r="L39" s="4" t="s">
        <v>37</v>
      </c>
      <c r="M39" s="4" t="s">
        <v>19</v>
      </c>
      <c r="N3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0" spans="1:14">
      <c r="A40" s="6">
        <v>10039</v>
      </c>
      <c r="B40" s="5">
        <v>45418</v>
      </c>
      <c r="C40" s="4" t="s">
        <v>48</v>
      </c>
      <c r="D40" s="4" t="s">
        <v>41</v>
      </c>
      <c r="E40" s="4" t="s">
        <v>27</v>
      </c>
      <c r="F40" s="4" t="s">
        <v>28</v>
      </c>
      <c r="G40" s="4">
        <v>9</v>
      </c>
      <c r="H40" s="4">
        <v>28285</v>
      </c>
      <c r="I40" s="4">
        <v>0</v>
      </c>
      <c r="J40" s="4">
        <v>254565</v>
      </c>
      <c r="K40" s="4">
        <f t="shared" si="0"/>
        <v>25456.5</v>
      </c>
      <c r="L40" s="4" t="s">
        <v>50</v>
      </c>
      <c r="M40" s="4" t="s">
        <v>19</v>
      </c>
      <c r="N4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1" spans="1:14">
      <c r="A41" s="6">
        <v>10040</v>
      </c>
      <c r="B41" s="5">
        <v>45344</v>
      </c>
      <c r="C41" s="4" t="s">
        <v>43</v>
      </c>
      <c r="D41" s="4" t="s">
        <v>51</v>
      </c>
      <c r="E41" s="4" t="s">
        <v>45</v>
      </c>
      <c r="F41" s="4" t="s">
        <v>60</v>
      </c>
      <c r="G41" s="4">
        <v>7</v>
      </c>
      <c r="H41" s="4">
        <v>14046</v>
      </c>
      <c r="I41" s="4">
        <v>0.02</v>
      </c>
      <c r="J41" s="4">
        <v>98322</v>
      </c>
      <c r="K41" s="4">
        <f t="shared" si="0"/>
        <v>34412.699999999997</v>
      </c>
      <c r="L41" s="4" t="s">
        <v>29</v>
      </c>
      <c r="M41" s="4" t="s">
        <v>30</v>
      </c>
      <c r="N4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2" spans="1:14">
      <c r="A42" s="6">
        <v>10041</v>
      </c>
      <c r="B42" s="5">
        <v>45518</v>
      </c>
      <c r="C42" s="4" t="s">
        <v>48</v>
      </c>
      <c r="D42" s="4" t="s">
        <v>36</v>
      </c>
      <c r="E42" s="4" t="s">
        <v>33</v>
      </c>
      <c r="F42" s="4" t="s">
        <v>66</v>
      </c>
      <c r="G42" s="4">
        <v>4</v>
      </c>
      <c r="H42" s="4">
        <v>15043</v>
      </c>
      <c r="I42" s="4">
        <v>0.02</v>
      </c>
      <c r="J42" s="4">
        <v>60172</v>
      </c>
      <c r="K42" s="4">
        <f t="shared" si="0"/>
        <v>15043</v>
      </c>
      <c r="L42" s="4" t="s">
        <v>61</v>
      </c>
      <c r="M42" s="4" t="s">
        <v>54</v>
      </c>
      <c r="N4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3" spans="1:14">
      <c r="A43" s="6">
        <v>10042</v>
      </c>
      <c r="B43" s="5">
        <v>45507</v>
      </c>
      <c r="C43" s="4" t="s">
        <v>48</v>
      </c>
      <c r="D43" s="4" t="s">
        <v>32</v>
      </c>
      <c r="E43" s="4" t="s">
        <v>16</v>
      </c>
      <c r="F43" s="4" t="s">
        <v>17</v>
      </c>
      <c r="G43" s="4">
        <v>9</v>
      </c>
      <c r="H43" s="4">
        <v>1846</v>
      </c>
      <c r="I43" s="4">
        <v>0.02</v>
      </c>
      <c r="J43" s="4">
        <v>16614</v>
      </c>
      <c r="K43" s="4">
        <f t="shared" si="0"/>
        <v>3322.8</v>
      </c>
      <c r="L43" s="4" t="s">
        <v>61</v>
      </c>
      <c r="M43" s="4" t="s">
        <v>54</v>
      </c>
      <c r="N4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4" spans="1:14">
      <c r="A44" s="6">
        <v>10043</v>
      </c>
      <c r="B44" s="5">
        <v>45313</v>
      </c>
      <c r="C44" s="4" t="s">
        <v>31</v>
      </c>
      <c r="D44" s="4" t="s">
        <v>41</v>
      </c>
      <c r="E44" s="4" t="s">
        <v>27</v>
      </c>
      <c r="F44" s="4" t="s">
        <v>28</v>
      </c>
      <c r="G44" s="4">
        <v>6</v>
      </c>
      <c r="H44" s="4">
        <v>31105</v>
      </c>
      <c r="I44" s="4">
        <v>0.01</v>
      </c>
      <c r="J44" s="4">
        <v>186630</v>
      </c>
      <c r="K44" s="4">
        <f t="shared" si="0"/>
        <v>18663</v>
      </c>
      <c r="L44" s="4" t="s">
        <v>67</v>
      </c>
      <c r="M44" s="4" t="s">
        <v>30</v>
      </c>
      <c r="N4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5" spans="1:14">
      <c r="A45" s="6">
        <v>10044</v>
      </c>
      <c r="B45" s="5">
        <v>45414</v>
      </c>
      <c r="C45" s="4" t="s">
        <v>31</v>
      </c>
      <c r="D45" s="4" t="s">
        <v>15</v>
      </c>
      <c r="E45" s="4" t="s">
        <v>45</v>
      </c>
      <c r="F45" s="4" t="s">
        <v>57</v>
      </c>
      <c r="G45" s="4">
        <v>6</v>
      </c>
      <c r="H45" s="4">
        <v>2828</v>
      </c>
      <c r="I45" s="4">
        <v>0.01</v>
      </c>
      <c r="J45" s="4">
        <v>16968</v>
      </c>
      <c r="K45" s="4">
        <f t="shared" si="0"/>
        <v>5938.7999999999993</v>
      </c>
      <c r="L45" s="4" t="s">
        <v>50</v>
      </c>
      <c r="M45" s="4" t="s">
        <v>19</v>
      </c>
      <c r="N4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6" spans="1:14">
      <c r="A46" s="6">
        <v>10045</v>
      </c>
      <c r="B46" s="5">
        <v>45559</v>
      </c>
      <c r="C46" s="4" t="s">
        <v>43</v>
      </c>
      <c r="D46" s="4" t="s">
        <v>32</v>
      </c>
      <c r="E46" s="4" t="s">
        <v>45</v>
      </c>
      <c r="F46" s="4" t="s">
        <v>57</v>
      </c>
      <c r="G46" s="4">
        <v>1</v>
      </c>
      <c r="H46" s="4">
        <v>46745</v>
      </c>
      <c r="I46" s="4">
        <v>0.05</v>
      </c>
      <c r="J46" s="4">
        <v>46745</v>
      </c>
      <c r="K46" s="4">
        <f t="shared" si="0"/>
        <v>16360.749999999998</v>
      </c>
      <c r="L46" s="4" t="s">
        <v>55</v>
      </c>
      <c r="M46" s="4" t="s">
        <v>54</v>
      </c>
      <c r="N4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7" spans="1:14">
      <c r="A47" s="6">
        <v>10046</v>
      </c>
      <c r="B47" s="5">
        <v>45637</v>
      </c>
      <c r="C47" s="4" t="s">
        <v>35</v>
      </c>
      <c r="D47" s="4" t="s">
        <v>51</v>
      </c>
      <c r="E47" s="4" t="s">
        <v>21</v>
      </c>
      <c r="F47" s="4" t="s">
        <v>52</v>
      </c>
      <c r="G47" s="4">
        <v>2</v>
      </c>
      <c r="H47" s="4">
        <v>35387</v>
      </c>
      <c r="I47" s="4">
        <v>0</v>
      </c>
      <c r="J47" s="4">
        <v>70774</v>
      </c>
      <c r="K47" s="4">
        <f t="shared" si="0"/>
        <v>21232.2</v>
      </c>
      <c r="L47" s="4" t="s">
        <v>23</v>
      </c>
      <c r="M47" s="4" t="s">
        <v>24</v>
      </c>
      <c r="N4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8" spans="1:14">
      <c r="A48" s="6">
        <v>10047</v>
      </c>
      <c r="B48" s="5">
        <v>45340</v>
      </c>
      <c r="C48" s="4" t="s">
        <v>43</v>
      </c>
      <c r="D48" s="4" t="s">
        <v>51</v>
      </c>
      <c r="E48" s="4" t="s">
        <v>16</v>
      </c>
      <c r="F48" s="4" t="s">
        <v>49</v>
      </c>
      <c r="G48" s="4">
        <v>6</v>
      </c>
      <c r="H48" s="4">
        <v>27614</v>
      </c>
      <c r="I48" s="4">
        <v>0.02</v>
      </c>
      <c r="J48" s="4">
        <v>165684</v>
      </c>
      <c r="K48" s="4">
        <f t="shared" si="0"/>
        <v>33136.800000000003</v>
      </c>
      <c r="L48" s="4" t="s">
        <v>29</v>
      </c>
      <c r="M48" s="4" t="s">
        <v>30</v>
      </c>
      <c r="N4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9" spans="1:14">
      <c r="A49" s="6">
        <v>10048</v>
      </c>
      <c r="B49" s="5">
        <v>45356</v>
      </c>
      <c r="C49" s="4" t="s">
        <v>48</v>
      </c>
      <c r="D49" s="4" t="s">
        <v>36</v>
      </c>
      <c r="E49" s="4" t="s">
        <v>16</v>
      </c>
      <c r="F49" s="4" t="s">
        <v>49</v>
      </c>
      <c r="G49" s="4">
        <v>5</v>
      </c>
      <c r="H49" s="4">
        <v>9567</v>
      </c>
      <c r="I49" s="4">
        <v>0.02</v>
      </c>
      <c r="J49" s="4">
        <v>47835</v>
      </c>
      <c r="K49" s="4">
        <f t="shared" si="0"/>
        <v>9567</v>
      </c>
      <c r="L49" s="4" t="s">
        <v>42</v>
      </c>
      <c r="M49" s="4" t="s">
        <v>30</v>
      </c>
      <c r="N4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0" spans="1:14">
      <c r="A50" s="6">
        <v>10049</v>
      </c>
      <c r="B50" s="5">
        <v>45472</v>
      </c>
      <c r="C50" s="4" t="s">
        <v>25</v>
      </c>
      <c r="D50" s="4" t="s">
        <v>51</v>
      </c>
      <c r="E50" s="4" t="s">
        <v>27</v>
      </c>
      <c r="F50" s="4" t="s">
        <v>64</v>
      </c>
      <c r="G50" s="4">
        <v>6</v>
      </c>
      <c r="H50" s="4">
        <v>6951</v>
      </c>
      <c r="I50" s="4">
        <v>0</v>
      </c>
      <c r="J50" s="4">
        <v>41706</v>
      </c>
      <c r="K50" s="4">
        <f t="shared" si="0"/>
        <v>4170.6000000000004</v>
      </c>
      <c r="L50" s="4" t="s">
        <v>18</v>
      </c>
      <c r="M50" s="4" t="s">
        <v>19</v>
      </c>
      <c r="N5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1" spans="1:14">
      <c r="A51" s="6">
        <v>10050</v>
      </c>
      <c r="B51" s="5">
        <v>45616</v>
      </c>
      <c r="C51" s="4" t="s">
        <v>43</v>
      </c>
      <c r="D51" s="4" t="s">
        <v>41</v>
      </c>
      <c r="E51" s="4" t="s">
        <v>45</v>
      </c>
      <c r="F51" s="4" t="s">
        <v>60</v>
      </c>
      <c r="G51" s="4">
        <v>5</v>
      </c>
      <c r="H51" s="4">
        <v>20282</v>
      </c>
      <c r="I51" s="4">
        <v>0.02</v>
      </c>
      <c r="J51" s="4">
        <v>101410</v>
      </c>
      <c r="K51" s="4">
        <f t="shared" si="0"/>
        <v>35493.5</v>
      </c>
      <c r="L51" s="4" t="s">
        <v>47</v>
      </c>
      <c r="M51" s="4" t="s">
        <v>24</v>
      </c>
      <c r="N5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2" spans="1:14">
      <c r="A52" s="6">
        <v>10051</v>
      </c>
      <c r="B52" s="5">
        <v>45345</v>
      </c>
      <c r="C52" s="4" t="s">
        <v>35</v>
      </c>
      <c r="D52" s="4" t="s">
        <v>20</v>
      </c>
      <c r="E52" s="4" t="s">
        <v>45</v>
      </c>
      <c r="F52" s="4" t="s">
        <v>57</v>
      </c>
      <c r="G52" s="4">
        <v>9</v>
      </c>
      <c r="H52" s="4">
        <v>44303</v>
      </c>
      <c r="I52" s="4">
        <v>0.05</v>
      </c>
      <c r="J52" s="4">
        <v>398727</v>
      </c>
      <c r="K52" s="4">
        <f t="shared" si="0"/>
        <v>139554.44999999998</v>
      </c>
      <c r="L52" s="4" t="s">
        <v>29</v>
      </c>
      <c r="M52" s="4" t="s">
        <v>30</v>
      </c>
      <c r="N5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3" spans="1:14">
      <c r="A53" s="6">
        <v>10052</v>
      </c>
      <c r="B53" s="5">
        <v>45628</v>
      </c>
      <c r="C53" s="4" t="s">
        <v>48</v>
      </c>
      <c r="D53" s="4" t="s">
        <v>15</v>
      </c>
      <c r="E53" s="4" t="s">
        <v>27</v>
      </c>
      <c r="F53" s="4" t="s">
        <v>28</v>
      </c>
      <c r="G53" s="4">
        <v>7</v>
      </c>
      <c r="H53" s="4">
        <v>38438</v>
      </c>
      <c r="I53" s="4">
        <v>0.02</v>
      </c>
      <c r="J53" s="4">
        <v>269066</v>
      </c>
      <c r="K53" s="4">
        <f t="shared" si="0"/>
        <v>26906.600000000002</v>
      </c>
      <c r="L53" s="4" t="s">
        <v>23</v>
      </c>
      <c r="M53" s="4" t="s">
        <v>24</v>
      </c>
      <c r="N5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4" spans="1:14">
      <c r="A54" s="6">
        <v>10053</v>
      </c>
      <c r="B54" s="5">
        <v>45513</v>
      </c>
      <c r="C54" s="4" t="s">
        <v>14</v>
      </c>
      <c r="D54" s="4" t="s">
        <v>41</v>
      </c>
      <c r="E54" s="4" t="s">
        <v>16</v>
      </c>
      <c r="F54" s="4" t="s">
        <v>65</v>
      </c>
      <c r="G54" s="4">
        <v>8</v>
      </c>
      <c r="H54" s="4">
        <v>27727</v>
      </c>
      <c r="I54" s="4">
        <v>0.02</v>
      </c>
      <c r="J54" s="4">
        <v>221816</v>
      </c>
      <c r="K54" s="4">
        <f t="shared" si="0"/>
        <v>44363.200000000004</v>
      </c>
      <c r="L54" s="4" t="s">
        <v>61</v>
      </c>
      <c r="M54" s="4" t="s">
        <v>54</v>
      </c>
      <c r="N5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5" spans="1:14">
      <c r="A55" s="6">
        <v>10054</v>
      </c>
      <c r="B55" s="5">
        <v>45343</v>
      </c>
      <c r="C55" s="4" t="s">
        <v>43</v>
      </c>
      <c r="D55" s="4" t="s">
        <v>51</v>
      </c>
      <c r="E55" s="4" t="s">
        <v>27</v>
      </c>
      <c r="F55" s="4" t="s">
        <v>64</v>
      </c>
      <c r="G55" s="4">
        <v>4</v>
      </c>
      <c r="H55" s="4">
        <v>16374</v>
      </c>
      <c r="I55" s="4">
        <v>0.02</v>
      </c>
      <c r="J55" s="4">
        <v>65496</v>
      </c>
      <c r="K55" s="4">
        <f t="shared" si="0"/>
        <v>6549.6</v>
      </c>
      <c r="L55" s="4" t="s">
        <v>29</v>
      </c>
      <c r="M55" s="4" t="s">
        <v>30</v>
      </c>
      <c r="N5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6" spans="1:14">
      <c r="A56" s="6">
        <v>10055</v>
      </c>
      <c r="B56" s="5">
        <v>45390</v>
      </c>
      <c r="C56" s="4" t="s">
        <v>43</v>
      </c>
      <c r="D56" s="4" t="s">
        <v>44</v>
      </c>
      <c r="E56" s="4" t="s">
        <v>45</v>
      </c>
      <c r="F56" s="4" t="s">
        <v>60</v>
      </c>
      <c r="G56" s="4">
        <v>6</v>
      </c>
      <c r="H56" s="4">
        <v>33184</v>
      </c>
      <c r="I56" s="4">
        <v>0</v>
      </c>
      <c r="J56" s="4">
        <v>199104</v>
      </c>
      <c r="K56" s="4">
        <f t="shared" si="0"/>
        <v>69686.399999999994</v>
      </c>
      <c r="L56" s="4" t="s">
        <v>37</v>
      </c>
      <c r="M56" s="4" t="s">
        <v>19</v>
      </c>
      <c r="N5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7" spans="1:14">
      <c r="A57" s="6">
        <v>10056</v>
      </c>
      <c r="B57" s="5">
        <v>45392</v>
      </c>
      <c r="C57" s="4" t="s">
        <v>31</v>
      </c>
      <c r="D57" s="4" t="s">
        <v>26</v>
      </c>
      <c r="E57" s="4" t="s">
        <v>16</v>
      </c>
      <c r="F57" s="4" t="s">
        <v>17</v>
      </c>
      <c r="G57" s="4">
        <v>2</v>
      </c>
      <c r="H57" s="4">
        <v>33265</v>
      </c>
      <c r="I57" s="4">
        <v>0</v>
      </c>
      <c r="J57" s="4">
        <v>66530</v>
      </c>
      <c r="K57" s="4">
        <f t="shared" si="0"/>
        <v>13306</v>
      </c>
      <c r="L57" s="4" t="s">
        <v>37</v>
      </c>
      <c r="M57" s="4" t="s">
        <v>19</v>
      </c>
      <c r="N5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8" spans="1:14">
      <c r="A58" s="6">
        <v>10057</v>
      </c>
      <c r="B58" s="5">
        <v>45507</v>
      </c>
      <c r="C58" s="4" t="s">
        <v>31</v>
      </c>
      <c r="D58" s="4" t="s">
        <v>51</v>
      </c>
      <c r="E58" s="4" t="s">
        <v>33</v>
      </c>
      <c r="F58" s="4" t="s">
        <v>66</v>
      </c>
      <c r="G58" s="4">
        <v>4</v>
      </c>
      <c r="H58" s="4">
        <v>41631</v>
      </c>
      <c r="I58" s="4">
        <v>0.02</v>
      </c>
      <c r="J58" s="4">
        <v>166524</v>
      </c>
      <c r="K58" s="4">
        <f t="shared" si="0"/>
        <v>41631</v>
      </c>
      <c r="L58" s="4" t="s">
        <v>61</v>
      </c>
      <c r="M58" s="4" t="s">
        <v>54</v>
      </c>
      <c r="N5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9" spans="1:14">
      <c r="A59" s="6">
        <v>10058</v>
      </c>
      <c r="B59" s="5">
        <v>45637</v>
      </c>
      <c r="C59" s="4" t="s">
        <v>31</v>
      </c>
      <c r="D59" s="4" t="s">
        <v>36</v>
      </c>
      <c r="E59" s="4" t="s">
        <v>33</v>
      </c>
      <c r="F59" s="4" t="s">
        <v>66</v>
      </c>
      <c r="G59" s="4">
        <v>3</v>
      </c>
      <c r="H59" s="4">
        <v>40666</v>
      </c>
      <c r="I59" s="4">
        <v>0.05</v>
      </c>
      <c r="J59" s="4">
        <v>121998</v>
      </c>
      <c r="K59" s="4">
        <f t="shared" si="0"/>
        <v>30499.5</v>
      </c>
      <c r="L59" s="4" t="s">
        <v>23</v>
      </c>
      <c r="M59" s="4" t="s">
        <v>24</v>
      </c>
      <c r="N5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60" spans="1:14">
      <c r="A60" s="6">
        <v>10059</v>
      </c>
      <c r="B60" s="5">
        <v>45404</v>
      </c>
      <c r="C60" s="4" t="s">
        <v>48</v>
      </c>
      <c r="D60" s="4" t="s">
        <v>20</v>
      </c>
      <c r="E60" s="4" t="s">
        <v>33</v>
      </c>
      <c r="F60" s="4" t="s">
        <v>66</v>
      </c>
      <c r="G60" s="4">
        <v>8</v>
      </c>
      <c r="H60" s="4">
        <v>11789</v>
      </c>
      <c r="I60" s="4">
        <v>0.01</v>
      </c>
      <c r="J60" s="4">
        <v>94312</v>
      </c>
      <c r="K60" s="4">
        <f t="shared" si="0"/>
        <v>23578</v>
      </c>
      <c r="L60" s="4" t="s">
        <v>37</v>
      </c>
      <c r="M60" s="4" t="s">
        <v>19</v>
      </c>
      <c r="N6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61" spans="1:14">
      <c r="A61" s="6">
        <v>10060</v>
      </c>
      <c r="B61" s="5">
        <v>45568</v>
      </c>
      <c r="C61" s="4" t="s">
        <v>43</v>
      </c>
      <c r="D61" s="4" t="s">
        <v>20</v>
      </c>
      <c r="E61" s="4" t="s">
        <v>21</v>
      </c>
      <c r="F61" s="4" t="s">
        <v>52</v>
      </c>
      <c r="G61" s="4">
        <v>8</v>
      </c>
      <c r="H61" s="4">
        <v>45241</v>
      </c>
      <c r="I61" s="4">
        <v>0</v>
      </c>
      <c r="J61" s="4">
        <v>361928</v>
      </c>
      <c r="K61" s="4">
        <f t="shared" si="0"/>
        <v>108578.4</v>
      </c>
      <c r="L61" s="4" t="s">
        <v>58</v>
      </c>
      <c r="M61" s="4" t="s">
        <v>24</v>
      </c>
      <c r="N6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62" spans="1:14">
      <c r="A62" s="6">
        <v>10061</v>
      </c>
      <c r="B62" s="5">
        <v>45569</v>
      </c>
      <c r="C62" s="4" t="s">
        <v>35</v>
      </c>
      <c r="D62" s="4" t="s">
        <v>51</v>
      </c>
      <c r="E62" s="4" t="s">
        <v>45</v>
      </c>
      <c r="F62" s="4" t="s">
        <v>57</v>
      </c>
      <c r="G62" s="4">
        <v>1</v>
      </c>
      <c r="H62" s="4">
        <v>42563</v>
      </c>
      <c r="I62" s="4">
        <v>0.02</v>
      </c>
      <c r="J62" s="4">
        <v>42563</v>
      </c>
      <c r="K62" s="4">
        <f t="shared" si="0"/>
        <v>14897.05</v>
      </c>
      <c r="L62" s="4" t="s">
        <v>58</v>
      </c>
      <c r="M62" s="4" t="s">
        <v>24</v>
      </c>
      <c r="N6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63" spans="1:14">
      <c r="A63" s="6">
        <v>10062</v>
      </c>
      <c r="B63" s="5">
        <v>45305</v>
      </c>
      <c r="C63" s="4" t="s">
        <v>25</v>
      </c>
      <c r="D63" s="4" t="s">
        <v>26</v>
      </c>
      <c r="E63" s="4" t="s">
        <v>33</v>
      </c>
      <c r="F63" s="4" t="s">
        <v>34</v>
      </c>
      <c r="G63" s="4">
        <v>7</v>
      </c>
      <c r="H63" s="4">
        <v>35560</v>
      </c>
      <c r="I63" s="4">
        <v>0.01</v>
      </c>
      <c r="J63" s="4">
        <v>248920</v>
      </c>
      <c r="K63" s="4">
        <f t="shared" si="0"/>
        <v>62230</v>
      </c>
      <c r="L63" s="4" t="s">
        <v>67</v>
      </c>
      <c r="M63" s="4" t="s">
        <v>30</v>
      </c>
      <c r="N6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64" spans="1:14">
      <c r="A64" s="6">
        <v>10063</v>
      </c>
      <c r="B64" s="5">
        <v>45596</v>
      </c>
      <c r="C64" s="4" t="s">
        <v>31</v>
      </c>
      <c r="D64" s="4" t="s">
        <v>26</v>
      </c>
      <c r="E64" s="4" t="s">
        <v>21</v>
      </c>
      <c r="F64" s="4" t="s">
        <v>52</v>
      </c>
      <c r="G64" s="4">
        <v>7</v>
      </c>
      <c r="H64" s="4">
        <v>20256</v>
      </c>
      <c r="I64" s="4">
        <v>0</v>
      </c>
      <c r="J64" s="4">
        <v>141792</v>
      </c>
      <c r="K64" s="4">
        <f t="shared" si="0"/>
        <v>42537.599999999999</v>
      </c>
      <c r="L64" s="4" t="s">
        <v>58</v>
      </c>
      <c r="M64" s="4" t="s">
        <v>24</v>
      </c>
      <c r="N6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65" spans="1:14">
      <c r="A65" s="6">
        <v>10064</v>
      </c>
      <c r="B65" s="5">
        <v>45310</v>
      </c>
      <c r="C65" s="4" t="s">
        <v>35</v>
      </c>
      <c r="D65" s="4" t="s">
        <v>38</v>
      </c>
      <c r="E65" s="4" t="s">
        <v>27</v>
      </c>
      <c r="F65" s="4" t="s">
        <v>64</v>
      </c>
      <c r="G65" s="4">
        <v>5</v>
      </c>
      <c r="H65" s="4">
        <v>32880</v>
      </c>
      <c r="I65" s="4">
        <v>0.01</v>
      </c>
      <c r="J65" s="4">
        <v>164400</v>
      </c>
      <c r="K65" s="4">
        <f t="shared" si="0"/>
        <v>16440</v>
      </c>
      <c r="L65" s="4" t="s">
        <v>67</v>
      </c>
      <c r="M65" s="4" t="s">
        <v>30</v>
      </c>
      <c r="N6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66" spans="1:14">
      <c r="A66" s="6">
        <v>10065</v>
      </c>
      <c r="B66" s="5">
        <v>45656</v>
      </c>
      <c r="C66" s="4" t="s">
        <v>25</v>
      </c>
      <c r="D66" s="4" t="s">
        <v>32</v>
      </c>
      <c r="E66" s="4" t="s">
        <v>33</v>
      </c>
      <c r="F66" s="4" t="s">
        <v>34</v>
      </c>
      <c r="G66" s="4">
        <v>4</v>
      </c>
      <c r="H66" s="4">
        <v>35393</v>
      </c>
      <c r="I66" s="4">
        <v>0.02</v>
      </c>
      <c r="J66" s="4">
        <v>141572</v>
      </c>
      <c r="K66" s="4">
        <f t="shared" ref="K66:K129" si="1">J66*N66</f>
        <v>35393</v>
      </c>
      <c r="L66" s="4" t="s">
        <v>23</v>
      </c>
      <c r="M66" s="4" t="s">
        <v>24</v>
      </c>
      <c r="N6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67" spans="1:14">
      <c r="A67" s="6">
        <v>10066</v>
      </c>
      <c r="B67" s="5">
        <v>45555</v>
      </c>
      <c r="C67" s="4" t="s">
        <v>14</v>
      </c>
      <c r="D67" s="4" t="s">
        <v>15</v>
      </c>
      <c r="E67" s="4" t="s">
        <v>21</v>
      </c>
      <c r="F67" s="4" t="s">
        <v>56</v>
      </c>
      <c r="G67" s="4">
        <v>3</v>
      </c>
      <c r="H67" s="4">
        <v>46719</v>
      </c>
      <c r="I67" s="4">
        <v>0</v>
      </c>
      <c r="J67" s="4">
        <v>140157</v>
      </c>
      <c r="K67" s="4">
        <f t="shared" si="1"/>
        <v>42047.1</v>
      </c>
      <c r="L67" s="4" t="s">
        <v>55</v>
      </c>
      <c r="M67" s="4" t="s">
        <v>54</v>
      </c>
      <c r="N6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68" spans="1:14">
      <c r="A68" s="6">
        <v>10067</v>
      </c>
      <c r="B68" s="5">
        <v>45550</v>
      </c>
      <c r="C68" s="4" t="s">
        <v>25</v>
      </c>
      <c r="D68" s="4" t="s">
        <v>26</v>
      </c>
      <c r="E68" s="4" t="s">
        <v>33</v>
      </c>
      <c r="F68" s="4" t="s">
        <v>59</v>
      </c>
      <c r="G68" s="4">
        <v>2</v>
      </c>
      <c r="H68" s="4">
        <v>39356</v>
      </c>
      <c r="I68" s="4">
        <v>0</v>
      </c>
      <c r="J68" s="4">
        <v>78712</v>
      </c>
      <c r="K68" s="4">
        <f t="shared" si="1"/>
        <v>19678</v>
      </c>
      <c r="L68" s="4" t="s">
        <v>55</v>
      </c>
      <c r="M68" s="4" t="s">
        <v>54</v>
      </c>
      <c r="N6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69" spans="1:14">
      <c r="A69" s="6">
        <v>10068</v>
      </c>
      <c r="B69" s="5">
        <v>45528</v>
      </c>
      <c r="C69" s="4" t="s">
        <v>31</v>
      </c>
      <c r="D69" s="4" t="s">
        <v>26</v>
      </c>
      <c r="E69" s="4" t="s">
        <v>16</v>
      </c>
      <c r="F69" s="4" t="s">
        <v>49</v>
      </c>
      <c r="G69" s="4">
        <v>6</v>
      </c>
      <c r="H69" s="4">
        <v>32195</v>
      </c>
      <c r="I69" s="4">
        <v>0.02</v>
      </c>
      <c r="J69" s="4">
        <v>193170</v>
      </c>
      <c r="K69" s="4">
        <f t="shared" si="1"/>
        <v>38634</v>
      </c>
      <c r="L69" s="4" t="s">
        <v>61</v>
      </c>
      <c r="M69" s="4" t="s">
        <v>54</v>
      </c>
      <c r="N6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70" spans="1:14">
      <c r="A70" s="6">
        <v>10069</v>
      </c>
      <c r="B70" s="5">
        <v>45465</v>
      </c>
      <c r="C70" s="4" t="s">
        <v>25</v>
      </c>
      <c r="D70" s="4" t="s">
        <v>63</v>
      </c>
      <c r="E70" s="4" t="s">
        <v>16</v>
      </c>
      <c r="F70" s="4" t="s">
        <v>65</v>
      </c>
      <c r="G70" s="4">
        <v>3</v>
      </c>
      <c r="H70" s="4">
        <v>25442</v>
      </c>
      <c r="I70" s="4">
        <v>0.05</v>
      </c>
      <c r="J70" s="4">
        <v>76326</v>
      </c>
      <c r="K70" s="4">
        <f t="shared" si="1"/>
        <v>15265.2</v>
      </c>
      <c r="L70" s="4" t="s">
        <v>18</v>
      </c>
      <c r="M70" s="4" t="s">
        <v>19</v>
      </c>
      <c r="N7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71" spans="1:14">
      <c r="A71" s="6">
        <v>10070</v>
      </c>
      <c r="B71" s="5">
        <v>45517</v>
      </c>
      <c r="C71" s="4" t="s">
        <v>35</v>
      </c>
      <c r="D71" s="4" t="s">
        <v>51</v>
      </c>
      <c r="E71" s="4" t="s">
        <v>33</v>
      </c>
      <c r="F71" s="4" t="s">
        <v>59</v>
      </c>
      <c r="G71" s="4">
        <v>3</v>
      </c>
      <c r="H71" s="4">
        <v>19449</v>
      </c>
      <c r="I71" s="4">
        <v>0</v>
      </c>
      <c r="J71" s="4">
        <v>58347</v>
      </c>
      <c r="K71" s="4">
        <f t="shared" si="1"/>
        <v>14586.75</v>
      </c>
      <c r="L71" s="4" t="s">
        <v>61</v>
      </c>
      <c r="M71" s="4" t="s">
        <v>54</v>
      </c>
      <c r="N7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72" spans="1:14">
      <c r="A72" s="6">
        <v>10071</v>
      </c>
      <c r="B72" s="5">
        <v>45537</v>
      </c>
      <c r="C72" s="4" t="s">
        <v>48</v>
      </c>
      <c r="D72" s="4" t="s">
        <v>15</v>
      </c>
      <c r="E72" s="4" t="s">
        <v>21</v>
      </c>
      <c r="F72" s="4" t="s">
        <v>52</v>
      </c>
      <c r="G72" s="4">
        <v>2</v>
      </c>
      <c r="H72" s="4">
        <v>12485</v>
      </c>
      <c r="I72" s="4">
        <v>0.01</v>
      </c>
      <c r="J72" s="4">
        <v>24970</v>
      </c>
      <c r="K72" s="4">
        <f t="shared" si="1"/>
        <v>7491</v>
      </c>
      <c r="L72" s="4" t="s">
        <v>55</v>
      </c>
      <c r="M72" s="4" t="s">
        <v>54</v>
      </c>
      <c r="N7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73" spans="1:14">
      <c r="A73" s="6">
        <v>10072</v>
      </c>
      <c r="B73" s="5">
        <v>45293</v>
      </c>
      <c r="C73" s="4" t="s">
        <v>43</v>
      </c>
      <c r="D73" s="4" t="s">
        <v>20</v>
      </c>
      <c r="E73" s="4" t="s">
        <v>33</v>
      </c>
      <c r="F73" s="4" t="s">
        <v>66</v>
      </c>
      <c r="G73" s="4">
        <v>3</v>
      </c>
      <c r="H73" s="4">
        <v>11093</v>
      </c>
      <c r="I73" s="4">
        <v>0.01</v>
      </c>
      <c r="J73" s="4">
        <v>33279</v>
      </c>
      <c r="K73" s="4">
        <f t="shared" si="1"/>
        <v>8319.75</v>
      </c>
      <c r="L73" s="4" t="s">
        <v>67</v>
      </c>
      <c r="M73" s="4" t="s">
        <v>30</v>
      </c>
      <c r="N7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74" spans="1:14">
      <c r="A74" s="6">
        <v>10073</v>
      </c>
      <c r="B74" s="5">
        <v>45571</v>
      </c>
      <c r="C74" s="4" t="s">
        <v>35</v>
      </c>
      <c r="D74" s="4" t="s">
        <v>51</v>
      </c>
      <c r="E74" s="4" t="s">
        <v>45</v>
      </c>
      <c r="F74" s="4" t="s">
        <v>60</v>
      </c>
      <c r="G74" s="4">
        <v>1</v>
      </c>
      <c r="H74" s="4">
        <v>46368</v>
      </c>
      <c r="I74" s="4">
        <v>0.02</v>
      </c>
      <c r="J74" s="4">
        <v>46368</v>
      </c>
      <c r="K74" s="4">
        <f t="shared" si="1"/>
        <v>16228.8</v>
      </c>
      <c r="L74" s="4" t="s">
        <v>58</v>
      </c>
      <c r="M74" s="4" t="s">
        <v>24</v>
      </c>
      <c r="N7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75" spans="1:14">
      <c r="A75" s="6">
        <v>10074</v>
      </c>
      <c r="B75" s="5">
        <v>45418</v>
      </c>
      <c r="C75" s="4" t="s">
        <v>25</v>
      </c>
      <c r="D75" s="4" t="s">
        <v>41</v>
      </c>
      <c r="E75" s="4" t="s">
        <v>33</v>
      </c>
      <c r="F75" s="4" t="s">
        <v>34</v>
      </c>
      <c r="G75" s="4">
        <v>3</v>
      </c>
      <c r="H75" s="4">
        <v>40986</v>
      </c>
      <c r="I75" s="4">
        <v>0</v>
      </c>
      <c r="J75" s="4">
        <v>122958</v>
      </c>
      <c r="K75" s="4">
        <f t="shared" si="1"/>
        <v>30739.5</v>
      </c>
      <c r="L75" s="4" t="s">
        <v>50</v>
      </c>
      <c r="M75" s="4" t="s">
        <v>19</v>
      </c>
      <c r="N7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76" spans="1:14">
      <c r="A76" s="6">
        <v>10075</v>
      </c>
      <c r="B76" s="5">
        <v>45293</v>
      </c>
      <c r="C76" s="4" t="s">
        <v>48</v>
      </c>
      <c r="D76" s="4" t="s">
        <v>51</v>
      </c>
      <c r="E76" s="4" t="s">
        <v>21</v>
      </c>
      <c r="F76" s="4" t="s">
        <v>56</v>
      </c>
      <c r="G76" s="4">
        <v>4</v>
      </c>
      <c r="H76" s="4">
        <v>42124</v>
      </c>
      <c r="I76" s="4">
        <v>0.01</v>
      </c>
      <c r="J76" s="4">
        <v>168496</v>
      </c>
      <c r="K76" s="4">
        <f t="shared" si="1"/>
        <v>50548.799999999996</v>
      </c>
      <c r="L76" s="4" t="s">
        <v>67</v>
      </c>
      <c r="M76" s="4" t="s">
        <v>30</v>
      </c>
      <c r="N7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77" spans="1:14">
      <c r="A77" s="6">
        <v>10076</v>
      </c>
      <c r="B77" s="5">
        <v>45312</v>
      </c>
      <c r="C77" s="4" t="s">
        <v>25</v>
      </c>
      <c r="D77" s="4" t="s">
        <v>63</v>
      </c>
      <c r="E77" s="4" t="s">
        <v>21</v>
      </c>
      <c r="F77" s="4" t="s">
        <v>56</v>
      </c>
      <c r="G77" s="4">
        <v>5</v>
      </c>
      <c r="H77" s="4">
        <v>21079</v>
      </c>
      <c r="I77" s="4">
        <v>0</v>
      </c>
      <c r="J77" s="4">
        <v>105395</v>
      </c>
      <c r="K77" s="4">
        <f t="shared" si="1"/>
        <v>31618.5</v>
      </c>
      <c r="L77" s="4" t="s">
        <v>67</v>
      </c>
      <c r="M77" s="4" t="s">
        <v>30</v>
      </c>
      <c r="N7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78" spans="1:14">
      <c r="A78" s="6">
        <v>10077</v>
      </c>
      <c r="B78" s="5">
        <v>45443</v>
      </c>
      <c r="C78" s="4" t="s">
        <v>14</v>
      </c>
      <c r="D78" s="4" t="s">
        <v>15</v>
      </c>
      <c r="E78" s="4" t="s">
        <v>33</v>
      </c>
      <c r="F78" s="4" t="s">
        <v>34</v>
      </c>
      <c r="G78" s="4">
        <v>5</v>
      </c>
      <c r="H78" s="4">
        <v>23419</v>
      </c>
      <c r="I78" s="4">
        <v>0.02</v>
      </c>
      <c r="J78" s="4">
        <v>117095</v>
      </c>
      <c r="K78" s="4">
        <f t="shared" si="1"/>
        <v>29273.75</v>
      </c>
      <c r="L78" s="4" t="s">
        <v>50</v>
      </c>
      <c r="M78" s="4" t="s">
        <v>19</v>
      </c>
      <c r="N7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79" spans="1:14">
      <c r="A79" s="6">
        <v>10078</v>
      </c>
      <c r="B79" s="5">
        <v>45555</v>
      </c>
      <c r="C79" s="4" t="s">
        <v>31</v>
      </c>
      <c r="D79" s="4" t="s">
        <v>44</v>
      </c>
      <c r="E79" s="4" t="s">
        <v>27</v>
      </c>
      <c r="F79" s="4" t="s">
        <v>64</v>
      </c>
      <c r="G79" s="4">
        <v>5</v>
      </c>
      <c r="H79" s="4">
        <v>34572</v>
      </c>
      <c r="I79" s="4">
        <v>0.01</v>
      </c>
      <c r="J79" s="4">
        <v>172860</v>
      </c>
      <c r="K79" s="4">
        <f t="shared" si="1"/>
        <v>17286</v>
      </c>
      <c r="L79" s="4" t="s">
        <v>55</v>
      </c>
      <c r="M79" s="4" t="s">
        <v>54</v>
      </c>
      <c r="N7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80" spans="1:14">
      <c r="A80" s="6">
        <v>10079</v>
      </c>
      <c r="B80" s="5">
        <v>45546</v>
      </c>
      <c r="C80" s="4" t="s">
        <v>31</v>
      </c>
      <c r="D80" s="4" t="s">
        <v>20</v>
      </c>
      <c r="E80" s="4" t="s">
        <v>33</v>
      </c>
      <c r="F80" s="4" t="s">
        <v>66</v>
      </c>
      <c r="G80" s="4">
        <v>6</v>
      </c>
      <c r="H80" s="4">
        <v>18771</v>
      </c>
      <c r="I80" s="4">
        <v>0.05</v>
      </c>
      <c r="J80" s="4">
        <v>112626</v>
      </c>
      <c r="K80" s="4">
        <f t="shared" si="1"/>
        <v>28156.5</v>
      </c>
      <c r="L80" s="4" t="s">
        <v>55</v>
      </c>
      <c r="M80" s="4" t="s">
        <v>54</v>
      </c>
      <c r="N8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81" spans="1:14">
      <c r="A81" s="6">
        <v>10080</v>
      </c>
      <c r="B81" s="5">
        <v>45575</v>
      </c>
      <c r="C81" s="4" t="s">
        <v>25</v>
      </c>
      <c r="D81" s="4" t="s">
        <v>36</v>
      </c>
      <c r="E81" s="4" t="s">
        <v>27</v>
      </c>
      <c r="F81" s="4" t="s">
        <v>62</v>
      </c>
      <c r="G81" s="4">
        <v>3</v>
      </c>
      <c r="H81" s="4">
        <v>28856</v>
      </c>
      <c r="I81" s="4">
        <v>0.01</v>
      </c>
      <c r="J81" s="4">
        <v>86568</v>
      </c>
      <c r="K81" s="4">
        <f t="shared" si="1"/>
        <v>8656.8000000000011</v>
      </c>
      <c r="L81" s="4" t="s">
        <v>58</v>
      </c>
      <c r="M81" s="4" t="s">
        <v>24</v>
      </c>
      <c r="N8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82" spans="1:14">
      <c r="A82" s="6">
        <v>10081</v>
      </c>
      <c r="B82" s="5">
        <v>45328</v>
      </c>
      <c r="C82" s="4" t="s">
        <v>25</v>
      </c>
      <c r="D82" s="4" t="s">
        <v>63</v>
      </c>
      <c r="E82" s="4" t="s">
        <v>21</v>
      </c>
      <c r="F82" s="4" t="s">
        <v>22</v>
      </c>
      <c r="G82" s="4">
        <v>9</v>
      </c>
      <c r="H82" s="4">
        <v>18685</v>
      </c>
      <c r="I82" s="4">
        <v>0.02</v>
      </c>
      <c r="J82" s="4">
        <v>168165</v>
      </c>
      <c r="K82" s="4">
        <f t="shared" si="1"/>
        <v>50449.5</v>
      </c>
      <c r="L82" s="4" t="s">
        <v>29</v>
      </c>
      <c r="M82" s="4" t="s">
        <v>30</v>
      </c>
      <c r="N8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83" spans="1:14">
      <c r="A83" s="6">
        <v>10082</v>
      </c>
      <c r="B83" s="5">
        <v>45398</v>
      </c>
      <c r="C83" s="4" t="s">
        <v>35</v>
      </c>
      <c r="D83" s="4" t="s">
        <v>36</v>
      </c>
      <c r="E83" s="4" t="s">
        <v>21</v>
      </c>
      <c r="F83" s="4" t="s">
        <v>52</v>
      </c>
      <c r="G83" s="4">
        <v>7</v>
      </c>
      <c r="H83" s="4">
        <v>9996</v>
      </c>
      <c r="I83" s="4">
        <v>0.02</v>
      </c>
      <c r="J83" s="4">
        <v>69972</v>
      </c>
      <c r="K83" s="4">
        <f t="shared" si="1"/>
        <v>20991.599999999999</v>
      </c>
      <c r="L83" s="4" t="s">
        <v>37</v>
      </c>
      <c r="M83" s="4" t="s">
        <v>19</v>
      </c>
      <c r="N8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84" spans="1:14">
      <c r="A84" s="6">
        <v>10083</v>
      </c>
      <c r="B84" s="5">
        <v>45522</v>
      </c>
      <c r="C84" s="4" t="s">
        <v>31</v>
      </c>
      <c r="D84" s="4" t="s">
        <v>38</v>
      </c>
      <c r="E84" s="4" t="s">
        <v>33</v>
      </c>
      <c r="F84" s="4" t="s">
        <v>34</v>
      </c>
      <c r="G84" s="4">
        <v>6</v>
      </c>
      <c r="H84" s="4">
        <v>27657</v>
      </c>
      <c r="I84" s="4">
        <v>0</v>
      </c>
      <c r="J84" s="4">
        <v>165942</v>
      </c>
      <c r="K84" s="4">
        <f t="shared" si="1"/>
        <v>41485.5</v>
      </c>
      <c r="L84" s="4" t="s">
        <v>61</v>
      </c>
      <c r="M84" s="4" t="s">
        <v>54</v>
      </c>
      <c r="N8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85" spans="1:14">
      <c r="A85" s="6">
        <v>10084</v>
      </c>
      <c r="B85" s="5">
        <v>45451</v>
      </c>
      <c r="C85" s="4" t="s">
        <v>35</v>
      </c>
      <c r="D85" s="4" t="s">
        <v>20</v>
      </c>
      <c r="E85" s="4" t="s">
        <v>21</v>
      </c>
      <c r="F85" s="4" t="s">
        <v>56</v>
      </c>
      <c r="G85" s="4">
        <v>6</v>
      </c>
      <c r="H85" s="4">
        <v>41760</v>
      </c>
      <c r="I85" s="4">
        <v>0.02</v>
      </c>
      <c r="J85" s="4">
        <v>250560</v>
      </c>
      <c r="K85" s="4">
        <f t="shared" si="1"/>
        <v>75168</v>
      </c>
      <c r="L85" s="4" t="s">
        <v>18</v>
      </c>
      <c r="M85" s="4" t="s">
        <v>19</v>
      </c>
      <c r="N8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86" spans="1:14">
      <c r="A86" s="6">
        <v>10085</v>
      </c>
      <c r="B86" s="5">
        <v>45631</v>
      </c>
      <c r="C86" s="4" t="s">
        <v>25</v>
      </c>
      <c r="D86" s="4" t="s">
        <v>41</v>
      </c>
      <c r="E86" s="4" t="s">
        <v>21</v>
      </c>
      <c r="F86" s="4" t="s">
        <v>22</v>
      </c>
      <c r="G86" s="4">
        <v>7</v>
      </c>
      <c r="H86" s="4">
        <v>28529</v>
      </c>
      <c r="I86" s="4">
        <v>0</v>
      </c>
      <c r="J86" s="4">
        <v>199703</v>
      </c>
      <c r="K86" s="4">
        <f t="shared" si="1"/>
        <v>59910.899999999994</v>
      </c>
      <c r="L86" s="4" t="s">
        <v>23</v>
      </c>
      <c r="M86" s="4" t="s">
        <v>24</v>
      </c>
      <c r="N8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87" spans="1:14">
      <c r="A87" s="6">
        <v>10086</v>
      </c>
      <c r="B87" s="5">
        <v>45632</v>
      </c>
      <c r="C87" s="4" t="s">
        <v>14</v>
      </c>
      <c r="D87" s="4" t="s">
        <v>26</v>
      </c>
      <c r="E87" s="4" t="s">
        <v>21</v>
      </c>
      <c r="F87" s="4" t="s">
        <v>52</v>
      </c>
      <c r="G87" s="4">
        <v>1</v>
      </c>
      <c r="H87" s="4">
        <v>20250</v>
      </c>
      <c r="I87" s="4">
        <v>0</v>
      </c>
      <c r="J87" s="4">
        <v>20250</v>
      </c>
      <c r="K87" s="4">
        <f t="shared" si="1"/>
        <v>6075</v>
      </c>
      <c r="L87" s="4" t="s">
        <v>23</v>
      </c>
      <c r="M87" s="4" t="s">
        <v>24</v>
      </c>
      <c r="N8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88" spans="1:14">
      <c r="A88" s="6">
        <v>10087</v>
      </c>
      <c r="B88" s="5">
        <v>45537</v>
      </c>
      <c r="C88" s="4" t="s">
        <v>35</v>
      </c>
      <c r="D88" s="4" t="s">
        <v>51</v>
      </c>
      <c r="E88" s="4" t="s">
        <v>21</v>
      </c>
      <c r="F88" s="4" t="s">
        <v>22</v>
      </c>
      <c r="G88" s="4">
        <v>4</v>
      </c>
      <c r="H88" s="4">
        <v>26712</v>
      </c>
      <c r="I88" s="4">
        <v>0.02</v>
      </c>
      <c r="J88" s="4">
        <v>106848</v>
      </c>
      <c r="K88" s="4">
        <f t="shared" si="1"/>
        <v>32054.399999999998</v>
      </c>
      <c r="L88" s="4" t="s">
        <v>55</v>
      </c>
      <c r="M88" s="4" t="s">
        <v>54</v>
      </c>
      <c r="N8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89" spans="1:14">
      <c r="A89" s="6">
        <v>10088</v>
      </c>
      <c r="B89" s="5">
        <v>45585</v>
      </c>
      <c r="C89" s="4" t="s">
        <v>48</v>
      </c>
      <c r="D89" s="4" t="s">
        <v>26</v>
      </c>
      <c r="E89" s="4" t="s">
        <v>21</v>
      </c>
      <c r="F89" s="4" t="s">
        <v>56</v>
      </c>
      <c r="G89" s="4">
        <v>5</v>
      </c>
      <c r="H89" s="4">
        <v>24863</v>
      </c>
      <c r="I89" s="4">
        <v>0</v>
      </c>
      <c r="J89" s="4">
        <v>124315</v>
      </c>
      <c r="K89" s="4">
        <f t="shared" si="1"/>
        <v>37294.5</v>
      </c>
      <c r="L89" s="4" t="s">
        <v>58</v>
      </c>
      <c r="M89" s="4" t="s">
        <v>24</v>
      </c>
      <c r="N8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90" spans="1:14">
      <c r="A90" s="6">
        <v>10089</v>
      </c>
      <c r="B90" s="5">
        <v>45443</v>
      </c>
      <c r="C90" s="4" t="s">
        <v>43</v>
      </c>
      <c r="D90" s="4" t="s">
        <v>44</v>
      </c>
      <c r="E90" s="4" t="s">
        <v>45</v>
      </c>
      <c r="F90" s="4" t="s">
        <v>46</v>
      </c>
      <c r="G90" s="4">
        <v>1</v>
      </c>
      <c r="H90" s="4">
        <v>25058</v>
      </c>
      <c r="I90" s="4">
        <v>0</v>
      </c>
      <c r="J90" s="4">
        <v>25058</v>
      </c>
      <c r="K90" s="4">
        <f t="shared" si="1"/>
        <v>8770.2999999999993</v>
      </c>
      <c r="L90" s="4" t="s">
        <v>50</v>
      </c>
      <c r="M90" s="4" t="s">
        <v>19</v>
      </c>
      <c r="N9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91" spans="1:14">
      <c r="A91" s="6">
        <v>10090</v>
      </c>
      <c r="B91" s="5">
        <v>45648</v>
      </c>
      <c r="C91" s="4" t="s">
        <v>14</v>
      </c>
      <c r="D91" s="4" t="s">
        <v>41</v>
      </c>
      <c r="E91" s="4" t="s">
        <v>16</v>
      </c>
      <c r="F91" s="4" t="s">
        <v>17</v>
      </c>
      <c r="G91" s="4">
        <v>9</v>
      </c>
      <c r="H91" s="4">
        <v>16048</v>
      </c>
      <c r="I91" s="4">
        <v>0.05</v>
      </c>
      <c r="J91" s="4">
        <v>144432</v>
      </c>
      <c r="K91" s="4">
        <f t="shared" si="1"/>
        <v>28886.400000000001</v>
      </c>
      <c r="L91" s="4" t="s">
        <v>23</v>
      </c>
      <c r="M91" s="4" t="s">
        <v>24</v>
      </c>
      <c r="N9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92" spans="1:14">
      <c r="A92" s="6">
        <v>10091</v>
      </c>
      <c r="B92" s="5">
        <v>45463</v>
      </c>
      <c r="C92" s="4" t="s">
        <v>14</v>
      </c>
      <c r="D92" s="4" t="s">
        <v>38</v>
      </c>
      <c r="E92" s="4" t="s">
        <v>33</v>
      </c>
      <c r="F92" s="4" t="s">
        <v>66</v>
      </c>
      <c r="G92" s="4">
        <v>7</v>
      </c>
      <c r="H92" s="4">
        <v>25354</v>
      </c>
      <c r="I92" s="4">
        <v>0.02</v>
      </c>
      <c r="J92" s="4">
        <v>177478</v>
      </c>
      <c r="K92" s="4">
        <f t="shared" si="1"/>
        <v>44369.5</v>
      </c>
      <c r="L92" s="4" t="s">
        <v>18</v>
      </c>
      <c r="M92" s="4" t="s">
        <v>19</v>
      </c>
      <c r="N9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93" spans="1:14">
      <c r="A93" s="6">
        <v>10092</v>
      </c>
      <c r="B93" s="5">
        <v>45616</v>
      </c>
      <c r="C93" s="4" t="s">
        <v>48</v>
      </c>
      <c r="D93" s="4" t="s">
        <v>26</v>
      </c>
      <c r="E93" s="4" t="s">
        <v>45</v>
      </c>
      <c r="F93" s="4" t="s">
        <v>46</v>
      </c>
      <c r="G93" s="4">
        <v>2</v>
      </c>
      <c r="H93" s="4">
        <v>24051</v>
      </c>
      <c r="I93" s="4">
        <v>0.02</v>
      </c>
      <c r="J93" s="4">
        <v>48102</v>
      </c>
      <c r="K93" s="4">
        <f t="shared" si="1"/>
        <v>16835.7</v>
      </c>
      <c r="L93" s="4" t="s">
        <v>47</v>
      </c>
      <c r="M93" s="4" t="s">
        <v>24</v>
      </c>
      <c r="N9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94" spans="1:14">
      <c r="A94" s="6">
        <v>10093</v>
      </c>
      <c r="B94" s="5">
        <v>45426</v>
      </c>
      <c r="C94" s="4" t="s">
        <v>25</v>
      </c>
      <c r="D94" s="4" t="s">
        <v>15</v>
      </c>
      <c r="E94" s="4" t="s">
        <v>27</v>
      </c>
      <c r="F94" s="4" t="s">
        <v>64</v>
      </c>
      <c r="G94" s="4">
        <v>9</v>
      </c>
      <c r="H94" s="4">
        <v>29470</v>
      </c>
      <c r="I94" s="4">
        <v>0</v>
      </c>
      <c r="J94" s="4">
        <v>265230</v>
      </c>
      <c r="K94" s="4">
        <f t="shared" si="1"/>
        <v>26523</v>
      </c>
      <c r="L94" s="4" t="s">
        <v>50</v>
      </c>
      <c r="M94" s="4" t="s">
        <v>19</v>
      </c>
      <c r="N9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95" spans="1:14">
      <c r="A95" s="6">
        <v>10094</v>
      </c>
      <c r="B95" s="5">
        <v>45379</v>
      </c>
      <c r="C95" s="4" t="s">
        <v>35</v>
      </c>
      <c r="D95" s="4" t="s">
        <v>15</v>
      </c>
      <c r="E95" s="4" t="s">
        <v>27</v>
      </c>
      <c r="F95" s="4" t="s">
        <v>64</v>
      </c>
      <c r="G95" s="4">
        <v>7</v>
      </c>
      <c r="H95" s="4">
        <v>3421</v>
      </c>
      <c r="I95" s="4">
        <v>0.05</v>
      </c>
      <c r="J95" s="4">
        <v>23947</v>
      </c>
      <c r="K95" s="4">
        <f t="shared" si="1"/>
        <v>2394.7000000000003</v>
      </c>
      <c r="L95" s="4" t="s">
        <v>42</v>
      </c>
      <c r="M95" s="4" t="s">
        <v>30</v>
      </c>
      <c r="N9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96" spans="1:14">
      <c r="A96" s="6">
        <v>10095</v>
      </c>
      <c r="B96" s="5">
        <v>45586</v>
      </c>
      <c r="C96" s="4" t="s">
        <v>25</v>
      </c>
      <c r="D96" s="4" t="s">
        <v>20</v>
      </c>
      <c r="E96" s="4" t="s">
        <v>16</v>
      </c>
      <c r="F96" s="4" t="s">
        <v>17</v>
      </c>
      <c r="G96" s="4">
        <v>9</v>
      </c>
      <c r="H96" s="4">
        <v>47617</v>
      </c>
      <c r="I96" s="4">
        <v>0.02</v>
      </c>
      <c r="J96" s="4">
        <v>428553</v>
      </c>
      <c r="K96" s="4">
        <f t="shared" si="1"/>
        <v>85710.6</v>
      </c>
      <c r="L96" s="4" t="s">
        <v>58</v>
      </c>
      <c r="M96" s="4" t="s">
        <v>24</v>
      </c>
      <c r="N9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97" spans="1:14">
      <c r="A97" s="6">
        <v>10096</v>
      </c>
      <c r="B97" s="5">
        <v>45422</v>
      </c>
      <c r="C97" s="4" t="s">
        <v>14</v>
      </c>
      <c r="D97" s="4" t="s">
        <v>41</v>
      </c>
      <c r="E97" s="4" t="s">
        <v>16</v>
      </c>
      <c r="F97" s="4" t="s">
        <v>65</v>
      </c>
      <c r="G97" s="4">
        <v>6</v>
      </c>
      <c r="H97" s="4">
        <v>29921</v>
      </c>
      <c r="I97" s="4">
        <v>0.02</v>
      </c>
      <c r="J97" s="4">
        <v>179526</v>
      </c>
      <c r="K97" s="4">
        <f t="shared" si="1"/>
        <v>35905.200000000004</v>
      </c>
      <c r="L97" s="4" t="s">
        <v>50</v>
      </c>
      <c r="M97" s="4" t="s">
        <v>19</v>
      </c>
      <c r="N9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98" spans="1:14">
      <c r="A98" s="6">
        <v>10097</v>
      </c>
      <c r="B98" s="5">
        <v>45297</v>
      </c>
      <c r="C98" s="4" t="s">
        <v>25</v>
      </c>
      <c r="D98" s="4" t="s">
        <v>32</v>
      </c>
      <c r="E98" s="4" t="s">
        <v>33</v>
      </c>
      <c r="F98" s="4" t="s">
        <v>66</v>
      </c>
      <c r="G98" s="4">
        <v>8</v>
      </c>
      <c r="H98" s="4">
        <v>18905</v>
      </c>
      <c r="I98" s="4">
        <v>0.02</v>
      </c>
      <c r="J98" s="4">
        <v>151240</v>
      </c>
      <c r="K98" s="4">
        <f t="shared" si="1"/>
        <v>37810</v>
      </c>
      <c r="L98" s="4" t="s">
        <v>67</v>
      </c>
      <c r="M98" s="4" t="s">
        <v>30</v>
      </c>
      <c r="N9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99" spans="1:14">
      <c r="A99" s="6">
        <v>10098</v>
      </c>
      <c r="B99" s="5">
        <v>45330</v>
      </c>
      <c r="C99" s="4" t="s">
        <v>48</v>
      </c>
      <c r="D99" s="4" t="s">
        <v>44</v>
      </c>
      <c r="E99" s="4" t="s">
        <v>21</v>
      </c>
      <c r="F99" s="4" t="s">
        <v>56</v>
      </c>
      <c r="G99" s="4">
        <v>7</v>
      </c>
      <c r="H99" s="4">
        <v>20426</v>
      </c>
      <c r="I99" s="4">
        <v>0.01</v>
      </c>
      <c r="J99" s="4">
        <v>142982</v>
      </c>
      <c r="K99" s="4">
        <f t="shared" si="1"/>
        <v>42894.6</v>
      </c>
      <c r="L99" s="4" t="s">
        <v>29</v>
      </c>
      <c r="M99" s="4" t="s">
        <v>30</v>
      </c>
      <c r="N9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00" spans="1:14">
      <c r="A100" s="6">
        <v>10099</v>
      </c>
      <c r="B100" s="5">
        <v>45471</v>
      </c>
      <c r="C100" s="4" t="s">
        <v>43</v>
      </c>
      <c r="D100" s="4" t="s">
        <v>36</v>
      </c>
      <c r="E100" s="4" t="s">
        <v>16</v>
      </c>
      <c r="F100" s="4" t="s">
        <v>17</v>
      </c>
      <c r="G100" s="4">
        <v>3</v>
      </c>
      <c r="H100" s="4">
        <v>30866</v>
      </c>
      <c r="I100" s="4">
        <v>0.05</v>
      </c>
      <c r="J100" s="4">
        <v>92598</v>
      </c>
      <c r="K100" s="4">
        <f t="shared" si="1"/>
        <v>18519.600000000002</v>
      </c>
      <c r="L100" s="4" t="s">
        <v>18</v>
      </c>
      <c r="M100" s="4" t="s">
        <v>19</v>
      </c>
      <c r="N10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01" spans="1:14">
      <c r="A101" s="6">
        <v>10100</v>
      </c>
      <c r="B101" s="5">
        <v>45428</v>
      </c>
      <c r="C101" s="4" t="s">
        <v>25</v>
      </c>
      <c r="D101" s="4" t="s">
        <v>44</v>
      </c>
      <c r="E101" s="4" t="s">
        <v>45</v>
      </c>
      <c r="F101" s="4" t="s">
        <v>46</v>
      </c>
      <c r="G101" s="4">
        <v>6</v>
      </c>
      <c r="H101" s="4">
        <v>8564</v>
      </c>
      <c r="I101" s="4">
        <v>0.01</v>
      </c>
      <c r="J101" s="4">
        <v>51384</v>
      </c>
      <c r="K101" s="4">
        <f t="shared" si="1"/>
        <v>17984.399999999998</v>
      </c>
      <c r="L101" s="4" t="s">
        <v>50</v>
      </c>
      <c r="M101" s="4" t="s">
        <v>19</v>
      </c>
      <c r="N10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02" spans="1:14">
      <c r="A102" s="6">
        <v>10101</v>
      </c>
      <c r="B102" s="5">
        <v>45422</v>
      </c>
      <c r="C102" s="4" t="s">
        <v>31</v>
      </c>
      <c r="D102" s="4" t="s">
        <v>36</v>
      </c>
      <c r="E102" s="4" t="s">
        <v>33</v>
      </c>
      <c r="F102" s="4" t="s">
        <v>34</v>
      </c>
      <c r="G102" s="4">
        <v>7</v>
      </c>
      <c r="H102" s="4">
        <v>1545</v>
      </c>
      <c r="I102" s="4">
        <v>0.01</v>
      </c>
      <c r="J102" s="4">
        <v>10815</v>
      </c>
      <c r="K102" s="4">
        <f t="shared" si="1"/>
        <v>2703.75</v>
      </c>
      <c r="L102" s="4" t="s">
        <v>50</v>
      </c>
      <c r="M102" s="4" t="s">
        <v>19</v>
      </c>
      <c r="N10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03" spans="1:14">
      <c r="A103" s="6">
        <v>10102</v>
      </c>
      <c r="B103" s="5">
        <v>45522</v>
      </c>
      <c r="C103" s="4" t="s">
        <v>43</v>
      </c>
      <c r="D103" s="4" t="s">
        <v>63</v>
      </c>
      <c r="E103" s="4" t="s">
        <v>21</v>
      </c>
      <c r="F103" s="4" t="s">
        <v>56</v>
      </c>
      <c r="G103" s="4">
        <v>4</v>
      </c>
      <c r="H103" s="4">
        <v>46084</v>
      </c>
      <c r="I103" s="4">
        <v>0.01</v>
      </c>
      <c r="J103" s="4">
        <v>184336</v>
      </c>
      <c r="K103" s="4">
        <f t="shared" si="1"/>
        <v>55300.799999999996</v>
      </c>
      <c r="L103" s="4" t="s">
        <v>61</v>
      </c>
      <c r="M103" s="4" t="s">
        <v>54</v>
      </c>
      <c r="N10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04" spans="1:14">
      <c r="A104" s="6">
        <v>10103</v>
      </c>
      <c r="B104" s="5">
        <v>45330</v>
      </c>
      <c r="C104" s="4" t="s">
        <v>31</v>
      </c>
      <c r="D104" s="4" t="s">
        <v>38</v>
      </c>
      <c r="E104" s="4" t="s">
        <v>33</v>
      </c>
      <c r="F104" s="4" t="s">
        <v>59</v>
      </c>
      <c r="G104" s="4">
        <v>9</v>
      </c>
      <c r="H104" s="4">
        <v>25574</v>
      </c>
      <c r="I104" s="4">
        <v>0.02</v>
      </c>
      <c r="J104" s="4">
        <v>230166</v>
      </c>
      <c r="K104" s="4">
        <f t="shared" si="1"/>
        <v>57541.5</v>
      </c>
      <c r="L104" s="4" t="s">
        <v>29</v>
      </c>
      <c r="M104" s="4" t="s">
        <v>30</v>
      </c>
      <c r="N10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05" spans="1:14">
      <c r="A105" s="6">
        <v>10104</v>
      </c>
      <c r="B105" s="5">
        <v>45383</v>
      </c>
      <c r="C105" s="4" t="s">
        <v>25</v>
      </c>
      <c r="D105" s="4" t="s">
        <v>32</v>
      </c>
      <c r="E105" s="4" t="s">
        <v>16</v>
      </c>
      <c r="F105" s="4" t="s">
        <v>17</v>
      </c>
      <c r="G105" s="4">
        <v>8</v>
      </c>
      <c r="H105" s="4">
        <v>33413</v>
      </c>
      <c r="I105" s="4">
        <v>0.01</v>
      </c>
      <c r="J105" s="4">
        <v>267304</v>
      </c>
      <c r="K105" s="4">
        <f t="shared" si="1"/>
        <v>53460.800000000003</v>
      </c>
      <c r="L105" s="4" t="s">
        <v>37</v>
      </c>
      <c r="M105" s="4" t="s">
        <v>19</v>
      </c>
      <c r="N10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06" spans="1:14">
      <c r="A106" s="6">
        <v>10105</v>
      </c>
      <c r="B106" s="5">
        <v>45522</v>
      </c>
      <c r="C106" s="4" t="s">
        <v>25</v>
      </c>
      <c r="D106" s="4" t="s">
        <v>41</v>
      </c>
      <c r="E106" s="4" t="s">
        <v>33</v>
      </c>
      <c r="F106" s="4" t="s">
        <v>59</v>
      </c>
      <c r="G106" s="4">
        <v>9</v>
      </c>
      <c r="H106" s="4">
        <v>5494</v>
      </c>
      <c r="I106" s="4">
        <v>0</v>
      </c>
      <c r="J106" s="4">
        <v>49446</v>
      </c>
      <c r="K106" s="4">
        <f t="shared" si="1"/>
        <v>12361.5</v>
      </c>
      <c r="L106" s="4" t="s">
        <v>61</v>
      </c>
      <c r="M106" s="4" t="s">
        <v>54</v>
      </c>
      <c r="N10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07" spans="1:14">
      <c r="A107" s="6">
        <v>10106</v>
      </c>
      <c r="B107" s="5">
        <v>45390</v>
      </c>
      <c r="C107" s="4" t="s">
        <v>14</v>
      </c>
      <c r="D107" s="4" t="s">
        <v>41</v>
      </c>
      <c r="E107" s="4" t="s">
        <v>45</v>
      </c>
      <c r="F107" s="4" t="s">
        <v>46</v>
      </c>
      <c r="G107" s="4">
        <v>5</v>
      </c>
      <c r="H107" s="4">
        <v>42898</v>
      </c>
      <c r="I107" s="4">
        <v>0.05</v>
      </c>
      <c r="J107" s="4">
        <v>214490</v>
      </c>
      <c r="K107" s="4">
        <f t="shared" si="1"/>
        <v>75071.5</v>
      </c>
      <c r="L107" s="4" t="s">
        <v>37</v>
      </c>
      <c r="M107" s="4" t="s">
        <v>19</v>
      </c>
      <c r="N10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08" spans="1:14">
      <c r="A108" s="6">
        <v>10107</v>
      </c>
      <c r="B108" s="5">
        <v>45408</v>
      </c>
      <c r="C108" s="4" t="s">
        <v>35</v>
      </c>
      <c r="D108" s="4" t="s">
        <v>36</v>
      </c>
      <c r="E108" s="4" t="s">
        <v>27</v>
      </c>
      <c r="F108" s="4" t="s">
        <v>62</v>
      </c>
      <c r="G108" s="4">
        <v>9</v>
      </c>
      <c r="H108" s="4">
        <v>25262</v>
      </c>
      <c r="I108" s="4">
        <v>0.05</v>
      </c>
      <c r="J108" s="4">
        <v>227358</v>
      </c>
      <c r="K108" s="4">
        <f t="shared" si="1"/>
        <v>22735.800000000003</v>
      </c>
      <c r="L108" s="4" t="s">
        <v>37</v>
      </c>
      <c r="M108" s="4" t="s">
        <v>19</v>
      </c>
      <c r="N10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09" spans="1:14">
      <c r="A109" s="6">
        <v>10108</v>
      </c>
      <c r="B109" s="5">
        <v>45367</v>
      </c>
      <c r="C109" s="4" t="s">
        <v>48</v>
      </c>
      <c r="D109" s="4" t="s">
        <v>41</v>
      </c>
      <c r="E109" s="4" t="s">
        <v>45</v>
      </c>
      <c r="F109" s="4" t="s">
        <v>57</v>
      </c>
      <c r="G109" s="4">
        <v>3</v>
      </c>
      <c r="H109" s="4">
        <v>37332</v>
      </c>
      <c r="I109" s="4">
        <v>0.01</v>
      </c>
      <c r="J109" s="4">
        <v>111996</v>
      </c>
      <c r="K109" s="4">
        <f t="shared" si="1"/>
        <v>39198.6</v>
      </c>
      <c r="L109" s="4" t="s">
        <v>42</v>
      </c>
      <c r="M109" s="4" t="s">
        <v>30</v>
      </c>
      <c r="N10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10" spans="1:14">
      <c r="A110" s="6">
        <v>10109</v>
      </c>
      <c r="B110" s="5">
        <v>45552</v>
      </c>
      <c r="C110" s="4" t="s">
        <v>14</v>
      </c>
      <c r="D110" s="4" t="s">
        <v>38</v>
      </c>
      <c r="E110" s="4" t="s">
        <v>21</v>
      </c>
      <c r="F110" s="4" t="s">
        <v>22</v>
      </c>
      <c r="G110" s="4">
        <v>1</v>
      </c>
      <c r="H110" s="4">
        <v>44513</v>
      </c>
      <c r="I110" s="4">
        <v>0.02</v>
      </c>
      <c r="J110" s="4">
        <v>44513</v>
      </c>
      <c r="K110" s="4">
        <f t="shared" si="1"/>
        <v>13353.9</v>
      </c>
      <c r="L110" s="4" t="s">
        <v>55</v>
      </c>
      <c r="M110" s="4" t="s">
        <v>54</v>
      </c>
      <c r="N11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11" spans="1:14">
      <c r="A111" s="6">
        <v>10110</v>
      </c>
      <c r="B111" s="5">
        <v>45335</v>
      </c>
      <c r="C111" s="4" t="s">
        <v>25</v>
      </c>
      <c r="D111" s="4" t="s">
        <v>38</v>
      </c>
      <c r="E111" s="4" t="s">
        <v>33</v>
      </c>
      <c r="F111" s="4" t="s">
        <v>34</v>
      </c>
      <c r="G111" s="4">
        <v>3</v>
      </c>
      <c r="H111" s="4">
        <v>19297</v>
      </c>
      <c r="I111" s="4">
        <v>0</v>
      </c>
      <c r="J111" s="4">
        <v>57891</v>
      </c>
      <c r="K111" s="4">
        <f t="shared" si="1"/>
        <v>14472.75</v>
      </c>
      <c r="L111" s="4" t="s">
        <v>29</v>
      </c>
      <c r="M111" s="4" t="s">
        <v>30</v>
      </c>
      <c r="N11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12" spans="1:14">
      <c r="A112" s="6">
        <v>10111</v>
      </c>
      <c r="B112" s="5">
        <v>45471</v>
      </c>
      <c r="C112" s="4" t="s">
        <v>14</v>
      </c>
      <c r="D112" s="4" t="s">
        <v>15</v>
      </c>
      <c r="E112" s="4" t="s">
        <v>27</v>
      </c>
      <c r="F112" s="4" t="s">
        <v>62</v>
      </c>
      <c r="G112" s="4">
        <v>8</v>
      </c>
      <c r="H112" s="4">
        <v>25578</v>
      </c>
      <c r="I112" s="4">
        <v>0.05</v>
      </c>
      <c r="J112" s="4">
        <v>204624</v>
      </c>
      <c r="K112" s="4">
        <f t="shared" si="1"/>
        <v>20462.400000000001</v>
      </c>
      <c r="L112" s="4" t="s">
        <v>18</v>
      </c>
      <c r="M112" s="4" t="s">
        <v>19</v>
      </c>
      <c r="N11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13" spans="1:14">
      <c r="A113" s="6">
        <v>10112</v>
      </c>
      <c r="B113" s="5">
        <v>45390</v>
      </c>
      <c r="C113" s="4" t="s">
        <v>25</v>
      </c>
      <c r="D113" s="4" t="s">
        <v>38</v>
      </c>
      <c r="E113" s="4" t="s">
        <v>33</v>
      </c>
      <c r="F113" s="4" t="s">
        <v>66</v>
      </c>
      <c r="G113" s="4">
        <v>4</v>
      </c>
      <c r="H113" s="4">
        <v>35701</v>
      </c>
      <c r="I113" s="4">
        <v>0</v>
      </c>
      <c r="J113" s="4">
        <v>142804</v>
      </c>
      <c r="K113" s="4">
        <f t="shared" si="1"/>
        <v>35701</v>
      </c>
      <c r="L113" s="4" t="s">
        <v>37</v>
      </c>
      <c r="M113" s="4" t="s">
        <v>19</v>
      </c>
      <c r="N11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14" spans="1:14">
      <c r="A114" s="6">
        <v>10113</v>
      </c>
      <c r="B114" s="5">
        <v>45431</v>
      </c>
      <c r="C114" s="4" t="s">
        <v>43</v>
      </c>
      <c r="D114" s="4" t="s">
        <v>38</v>
      </c>
      <c r="E114" s="4" t="s">
        <v>16</v>
      </c>
      <c r="F114" s="4" t="s">
        <v>65</v>
      </c>
      <c r="G114" s="4">
        <v>3</v>
      </c>
      <c r="H114" s="4">
        <v>38784</v>
      </c>
      <c r="I114" s="4">
        <v>0.01</v>
      </c>
      <c r="J114" s="4">
        <v>116352</v>
      </c>
      <c r="K114" s="4">
        <f t="shared" si="1"/>
        <v>23270.400000000001</v>
      </c>
      <c r="L114" s="4" t="s">
        <v>50</v>
      </c>
      <c r="M114" s="4" t="s">
        <v>19</v>
      </c>
      <c r="N11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15" spans="1:14">
      <c r="A115" s="6">
        <v>10114</v>
      </c>
      <c r="B115" s="5">
        <v>45622</v>
      </c>
      <c r="C115" s="4" t="s">
        <v>25</v>
      </c>
      <c r="D115" s="4" t="s">
        <v>41</v>
      </c>
      <c r="E115" s="4" t="s">
        <v>16</v>
      </c>
      <c r="F115" s="4" t="s">
        <v>65</v>
      </c>
      <c r="G115" s="4">
        <v>2</v>
      </c>
      <c r="H115" s="4">
        <v>26559</v>
      </c>
      <c r="I115" s="4">
        <v>0.05</v>
      </c>
      <c r="J115" s="4">
        <v>53118</v>
      </c>
      <c r="K115" s="4">
        <f t="shared" si="1"/>
        <v>10623.6</v>
      </c>
      <c r="L115" s="4" t="s">
        <v>47</v>
      </c>
      <c r="M115" s="4" t="s">
        <v>24</v>
      </c>
      <c r="N11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16" spans="1:14">
      <c r="A116" s="6">
        <v>10115</v>
      </c>
      <c r="B116" s="5">
        <v>45655</v>
      </c>
      <c r="C116" s="4" t="s">
        <v>14</v>
      </c>
      <c r="D116" s="4" t="s">
        <v>36</v>
      </c>
      <c r="E116" s="4" t="s">
        <v>27</v>
      </c>
      <c r="F116" s="4" t="s">
        <v>28</v>
      </c>
      <c r="G116" s="4">
        <v>6</v>
      </c>
      <c r="H116" s="4">
        <v>41996</v>
      </c>
      <c r="I116" s="4">
        <v>0.05</v>
      </c>
      <c r="J116" s="4">
        <v>251976</v>
      </c>
      <c r="K116" s="4">
        <f t="shared" si="1"/>
        <v>25197.600000000002</v>
      </c>
      <c r="L116" s="4" t="s">
        <v>23</v>
      </c>
      <c r="M116" s="4" t="s">
        <v>24</v>
      </c>
      <c r="N11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17" spans="1:14">
      <c r="A117" s="6">
        <v>10116</v>
      </c>
      <c r="B117" s="5">
        <v>45424</v>
      </c>
      <c r="C117" s="4" t="s">
        <v>48</v>
      </c>
      <c r="D117" s="4" t="s">
        <v>32</v>
      </c>
      <c r="E117" s="4" t="s">
        <v>21</v>
      </c>
      <c r="F117" s="4" t="s">
        <v>22</v>
      </c>
      <c r="G117" s="4">
        <v>3</v>
      </c>
      <c r="H117" s="4">
        <v>2591</v>
      </c>
      <c r="I117" s="4">
        <v>0.05</v>
      </c>
      <c r="J117" s="4">
        <v>7773</v>
      </c>
      <c r="K117" s="4">
        <f t="shared" si="1"/>
        <v>2331.9</v>
      </c>
      <c r="L117" s="4" t="s">
        <v>50</v>
      </c>
      <c r="M117" s="4" t="s">
        <v>19</v>
      </c>
      <c r="N11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18" spans="1:14">
      <c r="A118" s="6">
        <v>10117</v>
      </c>
      <c r="B118" s="5">
        <v>45535</v>
      </c>
      <c r="C118" s="4" t="s">
        <v>35</v>
      </c>
      <c r="D118" s="4" t="s">
        <v>15</v>
      </c>
      <c r="E118" s="4" t="s">
        <v>27</v>
      </c>
      <c r="F118" s="4" t="s">
        <v>28</v>
      </c>
      <c r="G118" s="4">
        <v>6</v>
      </c>
      <c r="H118" s="4">
        <v>21695</v>
      </c>
      <c r="I118" s="4">
        <v>0.02</v>
      </c>
      <c r="J118" s="4">
        <v>130170</v>
      </c>
      <c r="K118" s="4">
        <f t="shared" si="1"/>
        <v>13017</v>
      </c>
      <c r="L118" s="4" t="s">
        <v>61</v>
      </c>
      <c r="M118" s="4" t="s">
        <v>54</v>
      </c>
      <c r="N11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19" spans="1:14">
      <c r="A119" s="6">
        <v>10118</v>
      </c>
      <c r="B119" s="5">
        <v>45631</v>
      </c>
      <c r="C119" s="4" t="s">
        <v>43</v>
      </c>
      <c r="D119" s="4" t="s">
        <v>38</v>
      </c>
      <c r="E119" s="4" t="s">
        <v>45</v>
      </c>
      <c r="F119" s="4" t="s">
        <v>57</v>
      </c>
      <c r="G119" s="4">
        <v>9</v>
      </c>
      <c r="H119" s="4">
        <v>27292</v>
      </c>
      <c r="I119" s="4">
        <v>0.01</v>
      </c>
      <c r="J119" s="4">
        <v>245628</v>
      </c>
      <c r="K119" s="4">
        <f t="shared" si="1"/>
        <v>85969.799999999988</v>
      </c>
      <c r="L119" s="4" t="s">
        <v>23</v>
      </c>
      <c r="M119" s="4" t="s">
        <v>24</v>
      </c>
      <c r="N11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20" spans="1:14">
      <c r="A120" s="6">
        <v>10119</v>
      </c>
      <c r="B120" s="5">
        <v>45606</v>
      </c>
      <c r="C120" s="4" t="s">
        <v>31</v>
      </c>
      <c r="D120" s="4" t="s">
        <v>63</v>
      </c>
      <c r="E120" s="4" t="s">
        <v>27</v>
      </c>
      <c r="F120" s="4" t="s">
        <v>62</v>
      </c>
      <c r="G120" s="4">
        <v>5</v>
      </c>
      <c r="H120" s="4">
        <v>49874</v>
      </c>
      <c r="I120" s="4">
        <v>0</v>
      </c>
      <c r="J120" s="4">
        <v>249370</v>
      </c>
      <c r="K120" s="4">
        <f t="shared" si="1"/>
        <v>24937</v>
      </c>
      <c r="L120" s="4" t="s">
        <v>47</v>
      </c>
      <c r="M120" s="4" t="s">
        <v>24</v>
      </c>
      <c r="N12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21" spans="1:14">
      <c r="A121" s="6">
        <v>10120</v>
      </c>
      <c r="B121" s="5">
        <v>45350</v>
      </c>
      <c r="C121" s="4" t="s">
        <v>43</v>
      </c>
      <c r="D121" s="4" t="s">
        <v>41</v>
      </c>
      <c r="E121" s="4" t="s">
        <v>21</v>
      </c>
      <c r="F121" s="4" t="s">
        <v>52</v>
      </c>
      <c r="G121" s="4">
        <v>7</v>
      </c>
      <c r="H121" s="4">
        <v>37766</v>
      </c>
      <c r="I121" s="4">
        <v>0.01</v>
      </c>
      <c r="J121" s="4">
        <v>264362</v>
      </c>
      <c r="K121" s="4">
        <f t="shared" si="1"/>
        <v>79308.599999999991</v>
      </c>
      <c r="L121" s="4" t="s">
        <v>29</v>
      </c>
      <c r="M121" s="4" t="s">
        <v>30</v>
      </c>
      <c r="N12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22" spans="1:14">
      <c r="A122" s="6">
        <v>10121</v>
      </c>
      <c r="B122" s="5">
        <v>45554</v>
      </c>
      <c r="C122" s="4" t="s">
        <v>31</v>
      </c>
      <c r="D122" s="4" t="s">
        <v>63</v>
      </c>
      <c r="E122" s="4" t="s">
        <v>33</v>
      </c>
      <c r="F122" s="4" t="s">
        <v>59</v>
      </c>
      <c r="G122" s="4">
        <v>2</v>
      </c>
      <c r="H122" s="4">
        <v>22727</v>
      </c>
      <c r="I122" s="4">
        <v>0</v>
      </c>
      <c r="J122" s="4">
        <v>45454</v>
      </c>
      <c r="K122" s="4">
        <f t="shared" si="1"/>
        <v>11363.5</v>
      </c>
      <c r="L122" s="4" t="s">
        <v>55</v>
      </c>
      <c r="M122" s="4" t="s">
        <v>54</v>
      </c>
      <c r="N12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23" spans="1:14">
      <c r="A123" s="6">
        <v>10122</v>
      </c>
      <c r="B123" s="5">
        <v>45619</v>
      </c>
      <c r="C123" s="4" t="s">
        <v>14</v>
      </c>
      <c r="D123" s="4" t="s">
        <v>51</v>
      </c>
      <c r="E123" s="4" t="s">
        <v>16</v>
      </c>
      <c r="F123" s="4" t="s">
        <v>49</v>
      </c>
      <c r="G123" s="4">
        <v>3</v>
      </c>
      <c r="H123" s="4">
        <v>2007</v>
      </c>
      <c r="I123" s="4">
        <v>0.01</v>
      </c>
      <c r="J123" s="4">
        <v>6021</v>
      </c>
      <c r="K123" s="4">
        <f t="shared" si="1"/>
        <v>1204.2</v>
      </c>
      <c r="L123" s="4" t="s">
        <v>47</v>
      </c>
      <c r="M123" s="4" t="s">
        <v>24</v>
      </c>
      <c r="N12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24" spans="1:14">
      <c r="A124" s="6">
        <v>10123</v>
      </c>
      <c r="B124" s="5">
        <v>45351</v>
      </c>
      <c r="C124" s="4" t="s">
        <v>14</v>
      </c>
      <c r="D124" s="4" t="s">
        <v>41</v>
      </c>
      <c r="E124" s="4" t="s">
        <v>21</v>
      </c>
      <c r="F124" s="4" t="s">
        <v>22</v>
      </c>
      <c r="G124" s="4">
        <v>6</v>
      </c>
      <c r="H124" s="4">
        <v>14507</v>
      </c>
      <c r="I124" s="4">
        <v>0.05</v>
      </c>
      <c r="J124" s="4">
        <v>87042</v>
      </c>
      <c r="K124" s="4">
        <f t="shared" si="1"/>
        <v>26112.6</v>
      </c>
      <c r="L124" s="4" t="s">
        <v>29</v>
      </c>
      <c r="M124" s="4" t="s">
        <v>30</v>
      </c>
      <c r="N12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25" spans="1:14">
      <c r="A125" s="6">
        <v>10124</v>
      </c>
      <c r="B125" s="5">
        <v>45541</v>
      </c>
      <c r="C125" s="4" t="s">
        <v>25</v>
      </c>
      <c r="D125" s="4" t="s">
        <v>26</v>
      </c>
      <c r="E125" s="4" t="s">
        <v>21</v>
      </c>
      <c r="F125" s="4" t="s">
        <v>56</v>
      </c>
      <c r="G125" s="4">
        <v>1</v>
      </c>
      <c r="H125" s="4">
        <v>9073</v>
      </c>
      <c r="I125" s="4">
        <v>0.01</v>
      </c>
      <c r="J125" s="4">
        <v>9073</v>
      </c>
      <c r="K125" s="4">
        <f t="shared" si="1"/>
        <v>2721.9</v>
      </c>
      <c r="L125" s="4" t="s">
        <v>55</v>
      </c>
      <c r="M125" s="4" t="s">
        <v>54</v>
      </c>
      <c r="N12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26" spans="1:14">
      <c r="A126" s="6">
        <v>10125</v>
      </c>
      <c r="B126" s="5">
        <v>45483</v>
      </c>
      <c r="C126" s="4" t="s">
        <v>14</v>
      </c>
      <c r="D126" s="4" t="s">
        <v>36</v>
      </c>
      <c r="E126" s="4" t="s">
        <v>21</v>
      </c>
      <c r="F126" s="4" t="s">
        <v>56</v>
      </c>
      <c r="G126" s="4">
        <v>4</v>
      </c>
      <c r="H126" s="4">
        <v>26338</v>
      </c>
      <c r="I126" s="4">
        <v>0.02</v>
      </c>
      <c r="J126" s="4">
        <v>105352</v>
      </c>
      <c r="K126" s="4">
        <f t="shared" si="1"/>
        <v>31605.599999999999</v>
      </c>
      <c r="L126" s="4" t="s">
        <v>53</v>
      </c>
      <c r="M126" s="4" t="s">
        <v>54</v>
      </c>
      <c r="N12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27" spans="1:14">
      <c r="A127" s="6">
        <v>10126</v>
      </c>
      <c r="B127" s="5">
        <v>45604</v>
      </c>
      <c r="C127" s="4" t="s">
        <v>35</v>
      </c>
      <c r="D127" s="4" t="s">
        <v>15</v>
      </c>
      <c r="E127" s="4" t="s">
        <v>45</v>
      </c>
      <c r="F127" s="4" t="s">
        <v>46</v>
      </c>
      <c r="G127" s="4">
        <v>6</v>
      </c>
      <c r="H127" s="4">
        <v>32598</v>
      </c>
      <c r="I127" s="4">
        <v>0.02</v>
      </c>
      <c r="J127" s="4">
        <v>195588</v>
      </c>
      <c r="K127" s="4">
        <f t="shared" si="1"/>
        <v>68455.8</v>
      </c>
      <c r="L127" s="4" t="s">
        <v>47</v>
      </c>
      <c r="M127" s="4" t="s">
        <v>24</v>
      </c>
      <c r="N12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28" spans="1:14">
      <c r="A128" s="6">
        <v>10127</v>
      </c>
      <c r="B128" s="5">
        <v>45360</v>
      </c>
      <c r="C128" s="4" t="s">
        <v>14</v>
      </c>
      <c r="D128" s="4" t="s">
        <v>36</v>
      </c>
      <c r="E128" s="4" t="s">
        <v>21</v>
      </c>
      <c r="F128" s="4" t="s">
        <v>56</v>
      </c>
      <c r="G128" s="4">
        <v>2</v>
      </c>
      <c r="H128" s="4">
        <v>37124</v>
      </c>
      <c r="I128" s="4">
        <v>0.05</v>
      </c>
      <c r="J128" s="4">
        <v>74248</v>
      </c>
      <c r="K128" s="4">
        <f t="shared" si="1"/>
        <v>22274.399999999998</v>
      </c>
      <c r="L128" s="4" t="s">
        <v>42</v>
      </c>
      <c r="M128" s="4" t="s">
        <v>30</v>
      </c>
      <c r="N12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29" spans="1:14">
      <c r="A129" s="6">
        <v>10128</v>
      </c>
      <c r="B129" s="5">
        <v>45635</v>
      </c>
      <c r="C129" s="4" t="s">
        <v>35</v>
      </c>
      <c r="D129" s="4" t="s">
        <v>44</v>
      </c>
      <c r="E129" s="4" t="s">
        <v>33</v>
      </c>
      <c r="F129" s="4" t="s">
        <v>59</v>
      </c>
      <c r="G129" s="4">
        <v>2</v>
      </c>
      <c r="H129" s="4">
        <v>47766</v>
      </c>
      <c r="I129" s="4">
        <v>0.01</v>
      </c>
      <c r="J129" s="4">
        <v>95532</v>
      </c>
      <c r="K129" s="4">
        <f t="shared" si="1"/>
        <v>23883</v>
      </c>
      <c r="L129" s="4" t="s">
        <v>23</v>
      </c>
      <c r="M129" s="4" t="s">
        <v>24</v>
      </c>
      <c r="N12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30" spans="1:14">
      <c r="A130" s="6">
        <v>10129</v>
      </c>
      <c r="B130" s="5">
        <v>45483</v>
      </c>
      <c r="C130" s="4" t="s">
        <v>43</v>
      </c>
      <c r="D130" s="4" t="s">
        <v>15</v>
      </c>
      <c r="E130" s="4" t="s">
        <v>27</v>
      </c>
      <c r="F130" s="4" t="s">
        <v>64</v>
      </c>
      <c r="G130" s="4">
        <v>8</v>
      </c>
      <c r="H130" s="4">
        <v>33347</v>
      </c>
      <c r="I130" s="4">
        <v>0</v>
      </c>
      <c r="J130" s="4">
        <v>266776</v>
      </c>
      <c r="K130" s="4">
        <f t="shared" ref="K130:K193" si="2">J130*N130</f>
        <v>26677.600000000002</v>
      </c>
      <c r="L130" s="4" t="s">
        <v>53</v>
      </c>
      <c r="M130" s="4" t="s">
        <v>54</v>
      </c>
      <c r="N13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31" spans="1:14">
      <c r="A131" s="6">
        <v>10130</v>
      </c>
      <c r="B131" s="5">
        <v>45426</v>
      </c>
      <c r="C131" s="4" t="s">
        <v>31</v>
      </c>
      <c r="D131" s="4" t="s">
        <v>26</v>
      </c>
      <c r="E131" s="4" t="s">
        <v>33</v>
      </c>
      <c r="F131" s="4" t="s">
        <v>66</v>
      </c>
      <c r="G131" s="4">
        <v>3</v>
      </c>
      <c r="H131" s="4">
        <v>33196</v>
      </c>
      <c r="I131" s="4">
        <v>0.02</v>
      </c>
      <c r="J131" s="4">
        <v>99588</v>
      </c>
      <c r="K131" s="4">
        <f t="shared" si="2"/>
        <v>24897</v>
      </c>
      <c r="L131" s="4" t="s">
        <v>50</v>
      </c>
      <c r="M131" s="4" t="s">
        <v>19</v>
      </c>
      <c r="N13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32" spans="1:14">
      <c r="A132" s="6">
        <v>10131</v>
      </c>
      <c r="B132" s="5">
        <v>45390</v>
      </c>
      <c r="C132" s="4" t="s">
        <v>14</v>
      </c>
      <c r="D132" s="4" t="s">
        <v>32</v>
      </c>
      <c r="E132" s="4" t="s">
        <v>21</v>
      </c>
      <c r="F132" s="4" t="s">
        <v>52</v>
      </c>
      <c r="G132" s="4">
        <v>1</v>
      </c>
      <c r="H132" s="4">
        <v>42752</v>
      </c>
      <c r="I132" s="4">
        <v>0.05</v>
      </c>
      <c r="J132" s="4">
        <v>42752</v>
      </c>
      <c r="K132" s="4">
        <f t="shared" si="2"/>
        <v>12825.6</v>
      </c>
      <c r="L132" s="4" t="s">
        <v>37</v>
      </c>
      <c r="M132" s="4" t="s">
        <v>19</v>
      </c>
      <c r="N13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33" spans="1:14">
      <c r="A133" s="6">
        <v>10132</v>
      </c>
      <c r="B133" s="5">
        <v>45524</v>
      </c>
      <c r="C133" s="4" t="s">
        <v>31</v>
      </c>
      <c r="D133" s="4" t="s">
        <v>38</v>
      </c>
      <c r="E133" s="4" t="s">
        <v>45</v>
      </c>
      <c r="F133" s="4" t="s">
        <v>46</v>
      </c>
      <c r="G133" s="4">
        <v>1</v>
      </c>
      <c r="H133" s="4">
        <v>37444</v>
      </c>
      <c r="I133" s="4">
        <v>0</v>
      </c>
      <c r="J133" s="4">
        <v>37444</v>
      </c>
      <c r="K133" s="4">
        <f t="shared" si="2"/>
        <v>13105.4</v>
      </c>
      <c r="L133" s="4" t="s">
        <v>61</v>
      </c>
      <c r="M133" s="4" t="s">
        <v>54</v>
      </c>
      <c r="N13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34" spans="1:14">
      <c r="A134" s="6">
        <v>10133</v>
      </c>
      <c r="B134" s="5">
        <v>45514</v>
      </c>
      <c r="C134" s="4" t="s">
        <v>14</v>
      </c>
      <c r="D134" s="4" t="s">
        <v>44</v>
      </c>
      <c r="E134" s="4" t="s">
        <v>27</v>
      </c>
      <c r="F134" s="4" t="s">
        <v>62</v>
      </c>
      <c r="G134" s="4">
        <v>7</v>
      </c>
      <c r="H134" s="4">
        <v>18343</v>
      </c>
      <c r="I134" s="4">
        <v>0.05</v>
      </c>
      <c r="J134" s="4">
        <v>128401</v>
      </c>
      <c r="K134" s="4">
        <f t="shared" si="2"/>
        <v>12840.1</v>
      </c>
      <c r="L134" s="4" t="s">
        <v>61</v>
      </c>
      <c r="M134" s="4" t="s">
        <v>54</v>
      </c>
      <c r="N13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35" spans="1:14">
      <c r="A135" s="6">
        <v>10134</v>
      </c>
      <c r="B135" s="5">
        <v>45366</v>
      </c>
      <c r="C135" s="4" t="s">
        <v>43</v>
      </c>
      <c r="D135" s="4" t="s">
        <v>44</v>
      </c>
      <c r="E135" s="4" t="s">
        <v>45</v>
      </c>
      <c r="F135" s="4" t="s">
        <v>60</v>
      </c>
      <c r="G135" s="4">
        <v>9</v>
      </c>
      <c r="H135" s="4">
        <v>48837</v>
      </c>
      <c r="I135" s="4">
        <v>0.01</v>
      </c>
      <c r="J135" s="4">
        <v>439533</v>
      </c>
      <c r="K135" s="4">
        <f t="shared" si="2"/>
        <v>153836.54999999999</v>
      </c>
      <c r="L135" s="4" t="s">
        <v>42</v>
      </c>
      <c r="M135" s="4" t="s">
        <v>30</v>
      </c>
      <c r="N13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36" spans="1:14">
      <c r="A136" s="6">
        <v>10135</v>
      </c>
      <c r="B136" s="5">
        <v>45438</v>
      </c>
      <c r="C136" s="4" t="s">
        <v>48</v>
      </c>
      <c r="D136" s="4" t="s">
        <v>38</v>
      </c>
      <c r="E136" s="4" t="s">
        <v>45</v>
      </c>
      <c r="F136" s="4" t="s">
        <v>57</v>
      </c>
      <c r="G136" s="4">
        <v>6</v>
      </c>
      <c r="H136" s="4">
        <v>6109</v>
      </c>
      <c r="I136" s="4">
        <v>0</v>
      </c>
      <c r="J136" s="4">
        <v>36654</v>
      </c>
      <c r="K136" s="4">
        <f t="shared" si="2"/>
        <v>12828.9</v>
      </c>
      <c r="L136" s="4" t="s">
        <v>50</v>
      </c>
      <c r="M136" s="4" t="s">
        <v>19</v>
      </c>
      <c r="N13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37" spans="1:14">
      <c r="A137" s="6">
        <v>10136</v>
      </c>
      <c r="B137" s="5">
        <v>45555</v>
      </c>
      <c r="C137" s="4" t="s">
        <v>25</v>
      </c>
      <c r="D137" s="4" t="s">
        <v>51</v>
      </c>
      <c r="E137" s="4" t="s">
        <v>27</v>
      </c>
      <c r="F137" s="4" t="s">
        <v>28</v>
      </c>
      <c r="G137" s="4">
        <v>5</v>
      </c>
      <c r="H137" s="4">
        <v>27589</v>
      </c>
      <c r="I137" s="4">
        <v>0.05</v>
      </c>
      <c r="J137" s="4">
        <v>137945</v>
      </c>
      <c r="K137" s="4">
        <f t="shared" si="2"/>
        <v>13794.5</v>
      </c>
      <c r="L137" s="4" t="s">
        <v>55</v>
      </c>
      <c r="M137" s="4" t="s">
        <v>54</v>
      </c>
      <c r="N13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38" spans="1:14">
      <c r="A138" s="6">
        <v>10137</v>
      </c>
      <c r="B138" s="5">
        <v>45418</v>
      </c>
      <c r="C138" s="4" t="s">
        <v>25</v>
      </c>
      <c r="D138" s="4" t="s">
        <v>15</v>
      </c>
      <c r="E138" s="4" t="s">
        <v>27</v>
      </c>
      <c r="F138" s="4" t="s">
        <v>28</v>
      </c>
      <c r="G138" s="4">
        <v>6</v>
      </c>
      <c r="H138" s="4">
        <v>31087</v>
      </c>
      <c r="I138" s="4">
        <v>0.02</v>
      </c>
      <c r="J138" s="4">
        <v>186522</v>
      </c>
      <c r="K138" s="4">
        <f t="shared" si="2"/>
        <v>18652.2</v>
      </c>
      <c r="L138" s="4" t="s">
        <v>50</v>
      </c>
      <c r="M138" s="4" t="s">
        <v>19</v>
      </c>
      <c r="N13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39" spans="1:14">
      <c r="A139" s="6">
        <v>10138</v>
      </c>
      <c r="B139" s="5">
        <v>45508</v>
      </c>
      <c r="C139" s="4" t="s">
        <v>31</v>
      </c>
      <c r="D139" s="4" t="s">
        <v>38</v>
      </c>
      <c r="E139" s="4" t="s">
        <v>16</v>
      </c>
      <c r="F139" s="4" t="s">
        <v>49</v>
      </c>
      <c r="G139" s="4">
        <v>6</v>
      </c>
      <c r="H139" s="4">
        <v>30781</v>
      </c>
      <c r="I139" s="4">
        <v>0.05</v>
      </c>
      <c r="J139" s="4">
        <v>184686</v>
      </c>
      <c r="K139" s="4">
        <f t="shared" si="2"/>
        <v>36937.200000000004</v>
      </c>
      <c r="L139" s="4" t="s">
        <v>61</v>
      </c>
      <c r="M139" s="4" t="s">
        <v>54</v>
      </c>
      <c r="N13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40" spans="1:14">
      <c r="A140" s="6">
        <v>10139</v>
      </c>
      <c r="B140" s="5">
        <v>45543</v>
      </c>
      <c r="C140" s="4" t="s">
        <v>14</v>
      </c>
      <c r="D140" s="4" t="s">
        <v>15</v>
      </c>
      <c r="E140" s="4" t="s">
        <v>45</v>
      </c>
      <c r="F140" s="4" t="s">
        <v>57</v>
      </c>
      <c r="G140" s="4">
        <v>1</v>
      </c>
      <c r="H140" s="4">
        <v>47824</v>
      </c>
      <c r="I140" s="4">
        <v>0</v>
      </c>
      <c r="J140" s="4">
        <v>47824</v>
      </c>
      <c r="K140" s="4">
        <f t="shared" si="2"/>
        <v>16738.399999999998</v>
      </c>
      <c r="L140" s="4" t="s">
        <v>55</v>
      </c>
      <c r="M140" s="4" t="s">
        <v>54</v>
      </c>
      <c r="N14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41" spans="1:14">
      <c r="A141" s="6">
        <v>10140</v>
      </c>
      <c r="B141" s="5">
        <v>45333</v>
      </c>
      <c r="C141" s="4" t="s">
        <v>48</v>
      </c>
      <c r="D141" s="4" t="s">
        <v>63</v>
      </c>
      <c r="E141" s="4" t="s">
        <v>45</v>
      </c>
      <c r="F141" s="4" t="s">
        <v>60</v>
      </c>
      <c r="G141" s="4">
        <v>2</v>
      </c>
      <c r="H141" s="4">
        <v>16525</v>
      </c>
      <c r="I141" s="4">
        <v>0.02</v>
      </c>
      <c r="J141" s="4">
        <v>33050</v>
      </c>
      <c r="K141" s="4">
        <f t="shared" si="2"/>
        <v>11567.5</v>
      </c>
      <c r="L141" s="4" t="s">
        <v>29</v>
      </c>
      <c r="M141" s="4" t="s">
        <v>30</v>
      </c>
      <c r="N14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42" spans="1:14">
      <c r="A142" s="6">
        <v>10141</v>
      </c>
      <c r="B142" s="5">
        <v>45651</v>
      </c>
      <c r="C142" s="4" t="s">
        <v>14</v>
      </c>
      <c r="D142" s="4" t="s">
        <v>20</v>
      </c>
      <c r="E142" s="4" t="s">
        <v>21</v>
      </c>
      <c r="F142" s="4" t="s">
        <v>56</v>
      </c>
      <c r="G142" s="4">
        <v>7</v>
      </c>
      <c r="H142" s="4">
        <v>26003</v>
      </c>
      <c r="I142" s="4">
        <v>0</v>
      </c>
      <c r="J142" s="4">
        <v>182021</v>
      </c>
      <c r="K142" s="4">
        <f t="shared" si="2"/>
        <v>54606.299999999996</v>
      </c>
      <c r="L142" s="4" t="s">
        <v>23</v>
      </c>
      <c r="M142" s="4" t="s">
        <v>24</v>
      </c>
      <c r="N14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43" spans="1:14">
      <c r="A143" s="6">
        <v>10142</v>
      </c>
      <c r="B143" s="5">
        <v>45318</v>
      </c>
      <c r="C143" s="4" t="s">
        <v>48</v>
      </c>
      <c r="D143" s="4" t="s">
        <v>38</v>
      </c>
      <c r="E143" s="4" t="s">
        <v>27</v>
      </c>
      <c r="F143" s="4" t="s">
        <v>64</v>
      </c>
      <c r="G143" s="4">
        <v>6</v>
      </c>
      <c r="H143" s="4">
        <v>27015</v>
      </c>
      <c r="I143" s="4">
        <v>0</v>
      </c>
      <c r="J143" s="4">
        <v>162090</v>
      </c>
      <c r="K143" s="4">
        <f t="shared" si="2"/>
        <v>16209</v>
      </c>
      <c r="L143" s="4" t="s">
        <v>67</v>
      </c>
      <c r="M143" s="4" t="s">
        <v>30</v>
      </c>
      <c r="N14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44" spans="1:14">
      <c r="A144" s="6">
        <v>10143</v>
      </c>
      <c r="B144" s="5">
        <v>45293</v>
      </c>
      <c r="C144" s="4" t="s">
        <v>31</v>
      </c>
      <c r="D144" s="4" t="s">
        <v>63</v>
      </c>
      <c r="E144" s="4" t="s">
        <v>21</v>
      </c>
      <c r="F144" s="4" t="s">
        <v>52</v>
      </c>
      <c r="G144" s="4">
        <v>4</v>
      </c>
      <c r="H144" s="4">
        <v>33975</v>
      </c>
      <c r="I144" s="4">
        <v>0.05</v>
      </c>
      <c r="J144" s="4">
        <v>135900</v>
      </c>
      <c r="K144" s="4">
        <f t="shared" si="2"/>
        <v>40770</v>
      </c>
      <c r="L144" s="4" t="s">
        <v>67</v>
      </c>
      <c r="M144" s="4" t="s">
        <v>30</v>
      </c>
      <c r="N14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45" spans="1:14">
      <c r="A145" s="6">
        <v>10144</v>
      </c>
      <c r="B145" s="5">
        <v>45342</v>
      </c>
      <c r="C145" s="4" t="s">
        <v>43</v>
      </c>
      <c r="D145" s="4" t="s">
        <v>38</v>
      </c>
      <c r="E145" s="4" t="s">
        <v>21</v>
      </c>
      <c r="F145" s="4" t="s">
        <v>56</v>
      </c>
      <c r="G145" s="4">
        <v>2</v>
      </c>
      <c r="H145" s="4">
        <v>16349</v>
      </c>
      <c r="I145" s="4">
        <v>0.05</v>
      </c>
      <c r="J145" s="4">
        <v>32698</v>
      </c>
      <c r="K145" s="4">
        <f t="shared" si="2"/>
        <v>9809.4</v>
      </c>
      <c r="L145" s="4" t="s">
        <v>29</v>
      </c>
      <c r="M145" s="4" t="s">
        <v>30</v>
      </c>
      <c r="N14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46" spans="1:14">
      <c r="A146" s="6">
        <v>10145</v>
      </c>
      <c r="B146" s="5">
        <v>45326</v>
      </c>
      <c r="C146" s="4" t="s">
        <v>35</v>
      </c>
      <c r="D146" s="4" t="s">
        <v>32</v>
      </c>
      <c r="E146" s="4" t="s">
        <v>33</v>
      </c>
      <c r="F146" s="4" t="s">
        <v>59</v>
      </c>
      <c r="G146" s="4">
        <v>3</v>
      </c>
      <c r="H146" s="4">
        <v>21022</v>
      </c>
      <c r="I146" s="4">
        <v>0.01</v>
      </c>
      <c r="J146" s="4">
        <v>63066</v>
      </c>
      <c r="K146" s="4">
        <f t="shared" si="2"/>
        <v>15766.5</v>
      </c>
      <c r="L146" s="4" t="s">
        <v>29</v>
      </c>
      <c r="M146" s="4" t="s">
        <v>30</v>
      </c>
      <c r="N14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47" spans="1:14">
      <c r="A147" s="6">
        <v>10146</v>
      </c>
      <c r="B147" s="5">
        <v>45529</v>
      </c>
      <c r="C147" s="4" t="s">
        <v>48</v>
      </c>
      <c r="D147" s="4" t="s">
        <v>36</v>
      </c>
      <c r="E147" s="4" t="s">
        <v>27</v>
      </c>
      <c r="F147" s="4" t="s">
        <v>62</v>
      </c>
      <c r="G147" s="4">
        <v>3</v>
      </c>
      <c r="H147" s="4">
        <v>1661</v>
      </c>
      <c r="I147" s="4">
        <v>0</v>
      </c>
      <c r="J147" s="4">
        <v>4983</v>
      </c>
      <c r="K147" s="4">
        <f t="shared" si="2"/>
        <v>498.3</v>
      </c>
      <c r="L147" s="4" t="s">
        <v>61</v>
      </c>
      <c r="M147" s="4" t="s">
        <v>54</v>
      </c>
      <c r="N14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48" spans="1:14">
      <c r="A148" s="6">
        <v>10147</v>
      </c>
      <c r="B148" s="5">
        <v>45521</v>
      </c>
      <c r="C148" s="4" t="s">
        <v>43</v>
      </c>
      <c r="D148" s="4" t="s">
        <v>20</v>
      </c>
      <c r="E148" s="4" t="s">
        <v>16</v>
      </c>
      <c r="F148" s="4" t="s">
        <v>65</v>
      </c>
      <c r="G148" s="4">
        <v>3</v>
      </c>
      <c r="H148" s="4">
        <v>29706</v>
      </c>
      <c r="I148" s="4">
        <v>0</v>
      </c>
      <c r="J148" s="4">
        <v>89118</v>
      </c>
      <c r="K148" s="4">
        <f t="shared" si="2"/>
        <v>17823.600000000002</v>
      </c>
      <c r="L148" s="4" t="s">
        <v>61</v>
      </c>
      <c r="M148" s="4" t="s">
        <v>54</v>
      </c>
      <c r="N14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49" spans="1:14">
      <c r="A149" s="6">
        <v>10148</v>
      </c>
      <c r="B149" s="5">
        <v>45293</v>
      </c>
      <c r="C149" s="4" t="s">
        <v>31</v>
      </c>
      <c r="D149" s="4" t="s">
        <v>15</v>
      </c>
      <c r="E149" s="4" t="s">
        <v>16</v>
      </c>
      <c r="F149" s="4" t="s">
        <v>65</v>
      </c>
      <c r="G149" s="4">
        <v>5</v>
      </c>
      <c r="H149" s="4">
        <v>1956</v>
      </c>
      <c r="I149" s="4">
        <v>0.05</v>
      </c>
      <c r="J149" s="4">
        <v>9780</v>
      </c>
      <c r="K149" s="4">
        <f t="shared" si="2"/>
        <v>1956</v>
      </c>
      <c r="L149" s="4" t="s">
        <v>67</v>
      </c>
      <c r="M149" s="4" t="s">
        <v>30</v>
      </c>
      <c r="N14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50" spans="1:14">
      <c r="A150" s="6">
        <v>10149</v>
      </c>
      <c r="B150" s="5">
        <v>45334</v>
      </c>
      <c r="C150" s="4" t="s">
        <v>31</v>
      </c>
      <c r="D150" s="4" t="s">
        <v>51</v>
      </c>
      <c r="E150" s="4" t="s">
        <v>45</v>
      </c>
      <c r="F150" s="4" t="s">
        <v>60</v>
      </c>
      <c r="G150" s="4">
        <v>2</v>
      </c>
      <c r="H150" s="4">
        <v>16282</v>
      </c>
      <c r="I150" s="4">
        <v>0.05</v>
      </c>
      <c r="J150" s="4">
        <v>32564</v>
      </c>
      <c r="K150" s="4">
        <f t="shared" si="2"/>
        <v>11397.4</v>
      </c>
      <c r="L150" s="4" t="s">
        <v>29</v>
      </c>
      <c r="M150" s="4" t="s">
        <v>30</v>
      </c>
      <c r="N15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51" spans="1:14">
      <c r="A151" s="6">
        <v>10150</v>
      </c>
      <c r="B151" s="5">
        <v>45656</v>
      </c>
      <c r="C151" s="4" t="s">
        <v>14</v>
      </c>
      <c r="D151" s="4" t="s">
        <v>44</v>
      </c>
      <c r="E151" s="4" t="s">
        <v>21</v>
      </c>
      <c r="F151" s="4" t="s">
        <v>22</v>
      </c>
      <c r="G151" s="4">
        <v>2</v>
      </c>
      <c r="H151" s="4">
        <v>27958</v>
      </c>
      <c r="I151" s="4">
        <v>0.01</v>
      </c>
      <c r="J151" s="4">
        <v>55916</v>
      </c>
      <c r="K151" s="4">
        <f t="shared" si="2"/>
        <v>16774.8</v>
      </c>
      <c r="L151" s="4" t="s">
        <v>23</v>
      </c>
      <c r="M151" s="4" t="s">
        <v>24</v>
      </c>
      <c r="N15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52" spans="1:14">
      <c r="A152" s="6">
        <v>10151</v>
      </c>
      <c r="B152" s="5">
        <v>45454</v>
      </c>
      <c r="C152" s="4" t="s">
        <v>43</v>
      </c>
      <c r="D152" s="4" t="s">
        <v>20</v>
      </c>
      <c r="E152" s="4" t="s">
        <v>21</v>
      </c>
      <c r="F152" s="4" t="s">
        <v>56</v>
      </c>
      <c r="G152" s="4">
        <v>6</v>
      </c>
      <c r="H152" s="4">
        <v>22116</v>
      </c>
      <c r="I152" s="4">
        <v>0.05</v>
      </c>
      <c r="J152" s="4">
        <v>132696</v>
      </c>
      <c r="K152" s="4">
        <f t="shared" si="2"/>
        <v>39808.799999999996</v>
      </c>
      <c r="L152" s="4" t="s">
        <v>18</v>
      </c>
      <c r="M152" s="4" t="s">
        <v>19</v>
      </c>
      <c r="N15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53" spans="1:14">
      <c r="A153" s="6">
        <v>10152</v>
      </c>
      <c r="B153" s="5">
        <v>45478</v>
      </c>
      <c r="C153" s="4" t="s">
        <v>25</v>
      </c>
      <c r="D153" s="4" t="s">
        <v>32</v>
      </c>
      <c r="E153" s="4" t="s">
        <v>21</v>
      </c>
      <c r="F153" s="4" t="s">
        <v>22</v>
      </c>
      <c r="G153" s="4">
        <v>8</v>
      </c>
      <c r="H153" s="4">
        <v>27723</v>
      </c>
      <c r="I153" s="4">
        <v>0.05</v>
      </c>
      <c r="J153" s="4">
        <v>221784</v>
      </c>
      <c r="K153" s="4">
        <f t="shared" si="2"/>
        <v>66535.199999999997</v>
      </c>
      <c r="L153" s="4" t="s">
        <v>53</v>
      </c>
      <c r="M153" s="4" t="s">
        <v>54</v>
      </c>
      <c r="N15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54" spans="1:14">
      <c r="A154" s="6">
        <v>10153</v>
      </c>
      <c r="B154" s="5">
        <v>45437</v>
      </c>
      <c r="C154" s="4" t="s">
        <v>48</v>
      </c>
      <c r="D154" s="4" t="s">
        <v>36</v>
      </c>
      <c r="E154" s="4" t="s">
        <v>21</v>
      </c>
      <c r="F154" s="4" t="s">
        <v>52</v>
      </c>
      <c r="G154" s="4">
        <v>7</v>
      </c>
      <c r="H154" s="4">
        <v>27916</v>
      </c>
      <c r="I154" s="4">
        <v>0</v>
      </c>
      <c r="J154" s="4">
        <v>195412</v>
      </c>
      <c r="K154" s="4">
        <f t="shared" si="2"/>
        <v>58623.6</v>
      </c>
      <c r="L154" s="4" t="s">
        <v>50</v>
      </c>
      <c r="M154" s="4" t="s">
        <v>19</v>
      </c>
      <c r="N15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55" spans="1:14">
      <c r="A155" s="6">
        <v>10154</v>
      </c>
      <c r="B155" s="5">
        <v>45559</v>
      </c>
      <c r="C155" s="4" t="s">
        <v>48</v>
      </c>
      <c r="D155" s="4" t="s">
        <v>51</v>
      </c>
      <c r="E155" s="4" t="s">
        <v>45</v>
      </c>
      <c r="F155" s="4" t="s">
        <v>57</v>
      </c>
      <c r="G155" s="4">
        <v>7</v>
      </c>
      <c r="H155" s="4">
        <v>48064</v>
      </c>
      <c r="I155" s="4">
        <v>0.05</v>
      </c>
      <c r="J155" s="4">
        <v>336448</v>
      </c>
      <c r="K155" s="4">
        <f t="shared" si="2"/>
        <v>117756.79999999999</v>
      </c>
      <c r="L155" s="4" t="s">
        <v>55</v>
      </c>
      <c r="M155" s="4" t="s">
        <v>54</v>
      </c>
      <c r="N15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56" spans="1:14">
      <c r="A156" s="6">
        <v>10155</v>
      </c>
      <c r="B156" s="5">
        <v>45513</v>
      </c>
      <c r="C156" s="4" t="s">
        <v>25</v>
      </c>
      <c r="D156" s="4" t="s">
        <v>36</v>
      </c>
      <c r="E156" s="4" t="s">
        <v>27</v>
      </c>
      <c r="F156" s="4" t="s">
        <v>28</v>
      </c>
      <c r="G156" s="4">
        <v>3</v>
      </c>
      <c r="H156" s="4">
        <v>44006</v>
      </c>
      <c r="I156" s="4">
        <v>0</v>
      </c>
      <c r="J156" s="4">
        <v>132018</v>
      </c>
      <c r="K156" s="4">
        <f t="shared" si="2"/>
        <v>13201.800000000001</v>
      </c>
      <c r="L156" s="4" t="s">
        <v>61</v>
      </c>
      <c r="M156" s="4" t="s">
        <v>54</v>
      </c>
      <c r="N15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57" spans="1:14">
      <c r="A157" s="6">
        <v>10156</v>
      </c>
      <c r="B157" s="5">
        <v>45569</v>
      </c>
      <c r="C157" s="4" t="s">
        <v>43</v>
      </c>
      <c r="D157" s="4" t="s">
        <v>20</v>
      </c>
      <c r="E157" s="4" t="s">
        <v>45</v>
      </c>
      <c r="F157" s="4" t="s">
        <v>57</v>
      </c>
      <c r="G157" s="4">
        <v>3</v>
      </c>
      <c r="H157" s="4">
        <v>34397</v>
      </c>
      <c r="I157" s="4">
        <v>0.01</v>
      </c>
      <c r="J157" s="4">
        <v>103191</v>
      </c>
      <c r="K157" s="4">
        <f t="shared" si="2"/>
        <v>36116.85</v>
      </c>
      <c r="L157" s="4" t="s">
        <v>58</v>
      </c>
      <c r="M157" s="4" t="s">
        <v>24</v>
      </c>
      <c r="N15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58" spans="1:14">
      <c r="A158" s="6">
        <v>10157</v>
      </c>
      <c r="B158" s="5">
        <v>45571</v>
      </c>
      <c r="C158" s="4" t="s">
        <v>31</v>
      </c>
      <c r="D158" s="4" t="s">
        <v>51</v>
      </c>
      <c r="E158" s="4" t="s">
        <v>16</v>
      </c>
      <c r="F158" s="4" t="s">
        <v>49</v>
      </c>
      <c r="G158" s="4">
        <v>1</v>
      </c>
      <c r="H158" s="4">
        <v>44320</v>
      </c>
      <c r="I158" s="4">
        <v>0.05</v>
      </c>
      <c r="J158" s="4">
        <v>44320</v>
      </c>
      <c r="K158" s="4">
        <f t="shared" si="2"/>
        <v>8864</v>
      </c>
      <c r="L158" s="4" t="s">
        <v>58</v>
      </c>
      <c r="M158" s="4" t="s">
        <v>24</v>
      </c>
      <c r="N15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59" spans="1:14">
      <c r="A159" s="6">
        <v>10158</v>
      </c>
      <c r="B159" s="5">
        <v>45395</v>
      </c>
      <c r="C159" s="4" t="s">
        <v>35</v>
      </c>
      <c r="D159" s="4" t="s">
        <v>41</v>
      </c>
      <c r="E159" s="4" t="s">
        <v>16</v>
      </c>
      <c r="F159" s="4" t="s">
        <v>65</v>
      </c>
      <c r="G159" s="4">
        <v>5</v>
      </c>
      <c r="H159" s="4">
        <v>27928</v>
      </c>
      <c r="I159" s="4">
        <v>0</v>
      </c>
      <c r="J159" s="4">
        <v>139640</v>
      </c>
      <c r="K159" s="4">
        <f t="shared" si="2"/>
        <v>27928</v>
      </c>
      <c r="L159" s="4" t="s">
        <v>37</v>
      </c>
      <c r="M159" s="4" t="s">
        <v>19</v>
      </c>
      <c r="N15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60" spans="1:14">
      <c r="A160" s="6">
        <v>10159</v>
      </c>
      <c r="B160" s="5">
        <v>45570</v>
      </c>
      <c r="C160" s="4" t="s">
        <v>48</v>
      </c>
      <c r="D160" s="4" t="s">
        <v>44</v>
      </c>
      <c r="E160" s="4" t="s">
        <v>45</v>
      </c>
      <c r="F160" s="4" t="s">
        <v>46</v>
      </c>
      <c r="G160" s="4">
        <v>2</v>
      </c>
      <c r="H160" s="4">
        <v>17001</v>
      </c>
      <c r="I160" s="4">
        <v>0</v>
      </c>
      <c r="J160" s="4">
        <v>34002</v>
      </c>
      <c r="K160" s="4">
        <f t="shared" si="2"/>
        <v>11900.699999999999</v>
      </c>
      <c r="L160" s="4" t="s">
        <v>58</v>
      </c>
      <c r="M160" s="4" t="s">
        <v>24</v>
      </c>
      <c r="N16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61" spans="1:14">
      <c r="A161" s="6">
        <v>10160</v>
      </c>
      <c r="B161" s="5">
        <v>45485</v>
      </c>
      <c r="C161" s="4" t="s">
        <v>35</v>
      </c>
      <c r="D161" s="4" t="s">
        <v>15</v>
      </c>
      <c r="E161" s="4" t="s">
        <v>45</v>
      </c>
      <c r="F161" s="4" t="s">
        <v>60</v>
      </c>
      <c r="G161" s="4">
        <v>7</v>
      </c>
      <c r="H161" s="4">
        <v>2058</v>
      </c>
      <c r="I161" s="4">
        <v>0.01</v>
      </c>
      <c r="J161" s="4">
        <v>14406</v>
      </c>
      <c r="K161" s="4">
        <f t="shared" si="2"/>
        <v>5042.0999999999995</v>
      </c>
      <c r="L161" s="4" t="s">
        <v>53</v>
      </c>
      <c r="M161" s="4" t="s">
        <v>54</v>
      </c>
      <c r="N16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62" spans="1:14">
      <c r="A162" s="6">
        <v>10161</v>
      </c>
      <c r="B162" s="5">
        <v>45326</v>
      </c>
      <c r="C162" s="4" t="s">
        <v>25</v>
      </c>
      <c r="D162" s="4" t="s">
        <v>32</v>
      </c>
      <c r="E162" s="4" t="s">
        <v>33</v>
      </c>
      <c r="F162" s="4" t="s">
        <v>59</v>
      </c>
      <c r="G162" s="4">
        <v>4</v>
      </c>
      <c r="H162" s="4">
        <v>36057</v>
      </c>
      <c r="I162" s="4">
        <v>0.05</v>
      </c>
      <c r="J162" s="4">
        <v>144228</v>
      </c>
      <c r="K162" s="4">
        <f t="shared" si="2"/>
        <v>36057</v>
      </c>
      <c r="L162" s="4" t="s">
        <v>29</v>
      </c>
      <c r="M162" s="4" t="s">
        <v>30</v>
      </c>
      <c r="N16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63" spans="1:14">
      <c r="A163" s="6">
        <v>10162</v>
      </c>
      <c r="B163" s="5">
        <v>45392</v>
      </c>
      <c r="C163" s="4" t="s">
        <v>14</v>
      </c>
      <c r="D163" s="4" t="s">
        <v>38</v>
      </c>
      <c r="E163" s="4" t="s">
        <v>21</v>
      </c>
      <c r="F163" s="4" t="s">
        <v>22</v>
      </c>
      <c r="G163" s="4">
        <v>7</v>
      </c>
      <c r="H163" s="4">
        <v>7638</v>
      </c>
      <c r="I163" s="4">
        <v>0.02</v>
      </c>
      <c r="J163" s="4">
        <v>53466</v>
      </c>
      <c r="K163" s="4">
        <f t="shared" si="2"/>
        <v>16039.8</v>
      </c>
      <c r="L163" s="4" t="s">
        <v>37</v>
      </c>
      <c r="M163" s="4" t="s">
        <v>19</v>
      </c>
      <c r="N16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64" spans="1:14">
      <c r="A164" s="6">
        <v>10163</v>
      </c>
      <c r="B164" s="5">
        <v>45415</v>
      </c>
      <c r="C164" s="4" t="s">
        <v>48</v>
      </c>
      <c r="D164" s="4" t="s">
        <v>44</v>
      </c>
      <c r="E164" s="4" t="s">
        <v>45</v>
      </c>
      <c r="F164" s="4" t="s">
        <v>46</v>
      </c>
      <c r="G164" s="4">
        <v>2</v>
      </c>
      <c r="H164" s="4">
        <v>44753</v>
      </c>
      <c r="I164" s="4">
        <v>0.05</v>
      </c>
      <c r="J164" s="4">
        <v>89506</v>
      </c>
      <c r="K164" s="4">
        <f t="shared" si="2"/>
        <v>31327.1</v>
      </c>
      <c r="L164" s="4" t="s">
        <v>50</v>
      </c>
      <c r="M164" s="4" t="s">
        <v>19</v>
      </c>
      <c r="N16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65" spans="1:14">
      <c r="A165" s="6">
        <v>10164</v>
      </c>
      <c r="B165" s="5">
        <v>45394</v>
      </c>
      <c r="C165" s="4" t="s">
        <v>25</v>
      </c>
      <c r="D165" s="4" t="s">
        <v>63</v>
      </c>
      <c r="E165" s="4" t="s">
        <v>21</v>
      </c>
      <c r="F165" s="4" t="s">
        <v>22</v>
      </c>
      <c r="G165" s="4">
        <v>8</v>
      </c>
      <c r="H165" s="4">
        <v>24196</v>
      </c>
      <c r="I165" s="4">
        <v>0.05</v>
      </c>
      <c r="J165" s="4">
        <v>193568</v>
      </c>
      <c r="K165" s="4">
        <f t="shared" si="2"/>
        <v>58070.400000000001</v>
      </c>
      <c r="L165" s="4" t="s">
        <v>37</v>
      </c>
      <c r="M165" s="4" t="s">
        <v>19</v>
      </c>
      <c r="N16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66" spans="1:14">
      <c r="A166" s="6">
        <v>10165</v>
      </c>
      <c r="B166" s="5">
        <v>45335</v>
      </c>
      <c r="C166" s="4" t="s">
        <v>14</v>
      </c>
      <c r="D166" s="4" t="s">
        <v>20</v>
      </c>
      <c r="E166" s="4" t="s">
        <v>21</v>
      </c>
      <c r="F166" s="4" t="s">
        <v>22</v>
      </c>
      <c r="G166" s="4">
        <v>2</v>
      </c>
      <c r="H166" s="4">
        <v>29625</v>
      </c>
      <c r="I166" s="4">
        <v>0</v>
      </c>
      <c r="J166" s="4">
        <v>59250</v>
      </c>
      <c r="K166" s="4">
        <f t="shared" si="2"/>
        <v>17775</v>
      </c>
      <c r="L166" s="4" t="s">
        <v>29</v>
      </c>
      <c r="M166" s="4" t="s">
        <v>30</v>
      </c>
      <c r="N16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67" spans="1:14">
      <c r="A167" s="6">
        <v>10166</v>
      </c>
      <c r="B167" s="5">
        <v>45426</v>
      </c>
      <c r="C167" s="4" t="s">
        <v>25</v>
      </c>
      <c r="D167" s="4" t="s">
        <v>44</v>
      </c>
      <c r="E167" s="4" t="s">
        <v>16</v>
      </c>
      <c r="F167" s="4" t="s">
        <v>65</v>
      </c>
      <c r="G167" s="4">
        <v>1</v>
      </c>
      <c r="H167" s="4">
        <v>36840</v>
      </c>
      <c r="I167" s="4">
        <v>0.02</v>
      </c>
      <c r="J167" s="4">
        <v>36840</v>
      </c>
      <c r="K167" s="4">
        <f t="shared" si="2"/>
        <v>7368</v>
      </c>
      <c r="L167" s="4" t="s">
        <v>50</v>
      </c>
      <c r="M167" s="4" t="s">
        <v>19</v>
      </c>
      <c r="N16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68" spans="1:14">
      <c r="A168" s="6">
        <v>10167</v>
      </c>
      <c r="B168" s="5">
        <v>45556</v>
      </c>
      <c r="C168" s="4" t="s">
        <v>14</v>
      </c>
      <c r="D168" s="4" t="s">
        <v>36</v>
      </c>
      <c r="E168" s="4" t="s">
        <v>33</v>
      </c>
      <c r="F168" s="4" t="s">
        <v>59</v>
      </c>
      <c r="G168" s="4">
        <v>2</v>
      </c>
      <c r="H168" s="4">
        <v>18087</v>
      </c>
      <c r="I168" s="4">
        <v>0.01</v>
      </c>
      <c r="J168" s="4">
        <v>36174</v>
      </c>
      <c r="K168" s="4">
        <f t="shared" si="2"/>
        <v>9043.5</v>
      </c>
      <c r="L168" s="4" t="s">
        <v>55</v>
      </c>
      <c r="M168" s="4" t="s">
        <v>54</v>
      </c>
      <c r="N16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69" spans="1:14">
      <c r="A169" s="6">
        <v>10168</v>
      </c>
      <c r="B169" s="5">
        <v>45348</v>
      </c>
      <c r="C169" s="4" t="s">
        <v>25</v>
      </c>
      <c r="D169" s="4" t="s">
        <v>38</v>
      </c>
      <c r="E169" s="4" t="s">
        <v>16</v>
      </c>
      <c r="F169" s="4" t="s">
        <v>49</v>
      </c>
      <c r="G169" s="4">
        <v>5</v>
      </c>
      <c r="H169" s="4">
        <v>20614</v>
      </c>
      <c r="I169" s="4">
        <v>0</v>
      </c>
      <c r="J169" s="4">
        <v>103070</v>
      </c>
      <c r="K169" s="4">
        <f t="shared" si="2"/>
        <v>20614</v>
      </c>
      <c r="L169" s="4" t="s">
        <v>29</v>
      </c>
      <c r="M169" s="4" t="s">
        <v>30</v>
      </c>
      <c r="N16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70" spans="1:14">
      <c r="A170" s="6">
        <v>10169</v>
      </c>
      <c r="B170" s="5">
        <v>45595</v>
      </c>
      <c r="C170" s="4" t="s">
        <v>48</v>
      </c>
      <c r="D170" s="4" t="s">
        <v>44</v>
      </c>
      <c r="E170" s="4" t="s">
        <v>21</v>
      </c>
      <c r="F170" s="4" t="s">
        <v>22</v>
      </c>
      <c r="G170" s="4">
        <v>6</v>
      </c>
      <c r="H170" s="4">
        <v>5114</v>
      </c>
      <c r="I170" s="4">
        <v>0.01</v>
      </c>
      <c r="J170" s="4">
        <v>30684</v>
      </c>
      <c r="K170" s="4">
        <f t="shared" si="2"/>
        <v>9205.1999999999989</v>
      </c>
      <c r="L170" s="4" t="s">
        <v>58</v>
      </c>
      <c r="M170" s="4" t="s">
        <v>24</v>
      </c>
      <c r="N17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71" spans="1:14">
      <c r="A171" s="6">
        <v>10170</v>
      </c>
      <c r="B171" s="5">
        <v>45454</v>
      </c>
      <c r="C171" s="4" t="s">
        <v>43</v>
      </c>
      <c r="D171" s="4" t="s">
        <v>15</v>
      </c>
      <c r="E171" s="4" t="s">
        <v>33</v>
      </c>
      <c r="F171" s="4" t="s">
        <v>59</v>
      </c>
      <c r="G171" s="4">
        <v>8</v>
      </c>
      <c r="H171" s="4">
        <v>41957</v>
      </c>
      <c r="I171" s="4">
        <v>0.01</v>
      </c>
      <c r="J171" s="4">
        <v>335656</v>
      </c>
      <c r="K171" s="4">
        <f t="shared" si="2"/>
        <v>83914</v>
      </c>
      <c r="L171" s="4" t="s">
        <v>18</v>
      </c>
      <c r="M171" s="4" t="s">
        <v>19</v>
      </c>
      <c r="N17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72" spans="1:14">
      <c r="A172" s="6">
        <v>10171</v>
      </c>
      <c r="B172" s="5">
        <v>45345</v>
      </c>
      <c r="C172" s="4" t="s">
        <v>35</v>
      </c>
      <c r="D172" s="4" t="s">
        <v>32</v>
      </c>
      <c r="E172" s="4" t="s">
        <v>45</v>
      </c>
      <c r="F172" s="4" t="s">
        <v>60</v>
      </c>
      <c r="G172" s="4">
        <v>9</v>
      </c>
      <c r="H172" s="4">
        <v>18824</v>
      </c>
      <c r="I172" s="4">
        <v>0</v>
      </c>
      <c r="J172" s="4">
        <v>169416</v>
      </c>
      <c r="K172" s="4">
        <f t="shared" si="2"/>
        <v>59295.6</v>
      </c>
      <c r="L172" s="4" t="s">
        <v>29</v>
      </c>
      <c r="M172" s="4" t="s">
        <v>30</v>
      </c>
      <c r="N17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73" spans="1:14">
      <c r="A173" s="6">
        <v>10172</v>
      </c>
      <c r="B173" s="5">
        <v>45295</v>
      </c>
      <c r="C173" s="4" t="s">
        <v>14</v>
      </c>
      <c r="D173" s="4" t="s">
        <v>32</v>
      </c>
      <c r="E173" s="4" t="s">
        <v>27</v>
      </c>
      <c r="F173" s="4" t="s">
        <v>62</v>
      </c>
      <c r="G173" s="4">
        <v>8</v>
      </c>
      <c r="H173" s="4">
        <v>26537</v>
      </c>
      <c r="I173" s="4">
        <v>0.01</v>
      </c>
      <c r="J173" s="4">
        <v>212296</v>
      </c>
      <c r="K173" s="4">
        <f t="shared" si="2"/>
        <v>21229.600000000002</v>
      </c>
      <c r="L173" s="4" t="s">
        <v>67</v>
      </c>
      <c r="M173" s="4" t="s">
        <v>30</v>
      </c>
      <c r="N17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174" spans="1:14">
      <c r="A174" s="6">
        <v>10173</v>
      </c>
      <c r="B174" s="5">
        <v>45562</v>
      </c>
      <c r="C174" s="4" t="s">
        <v>14</v>
      </c>
      <c r="D174" s="4" t="s">
        <v>26</v>
      </c>
      <c r="E174" s="4" t="s">
        <v>33</v>
      </c>
      <c r="F174" s="4" t="s">
        <v>34</v>
      </c>
      <c r="G174" s="4">
        <v>5</v>
      </c>
      <c r="H174" s="4">
        <v>2177</v>
      </c>
      <c r="I174" s="4">
        <v>0</v>
      </c>
      <c r="J174" s="4">
        <v>10885</v>
      </c>
      <c r="K174" s="4">
        <f t="shared" si="2"/>
        <v>2721.25</v>
      </c>
      <c r="L174" s="4" t="s">
        <v>55</v>
      </c>
      <c r="M174" s="4" t="s">
        <v>54</v>
      </c>
      <c r="N17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75" spans="1:14">
      <c r="A175" s="6">
        <v>10174</v>
      </c>
      <c r="B175" s="5">
        <v>45574</v>
      </c>
      <c r="C175" s="4" t="s">
        <v>31</v>
      </c>
      <c r="D175" s="4" t="s">
        <v>44</v>
      </c>
      <c r="E175" s="4" t="s">
        <v>21</v>
      </c>
      <c r="F175" s="4" t="s">
        <v>22</v>
      </c>
      <c r="G175" s="4">
        <v>7</v>
      </c>
      <c r="H175" s="4">
        <v>17173</v>
      </c>
      <c r="I175" s="4">
        <v>0.01</v>
      </c>
      <c r="J175" s="4">
        <v>120211</v>
      </c>
      <c r="K175" s="4">
        <f t="shared" si="2"/>
        <v>36063.299999999996</v>
      </c>
      <c r="L175" s="4" t="s">
        <v>58</v>
      </c>
      <c r="M175" s="4" t="s">
        <v>24</v>
      </c>
      <c r="N17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76" spans="1:14">
      <c r="A176" s="6">
        <v>10175</v>
      </c>
      <c r="B176" s="5">
        <v>45560</v>
      </c>
      <c r="C176" s="4" t="s">
        <v>43</v>
      </c>
      <c r="D176" s="4" t="s">
        <v>63</v>
      </c>
      <c r="E176" s="4" t="s">
        <v>33</v>
      </c>
      <c r="F176" s="4" t="s">
        <v>59</v>
      </c>
      <c r="G176" s="4">
        <v>5</v>
      </c>
      <c r="H176" s="4">
        <v>22627</v>
      </c>
      <c r="I176" s="4">
        <v>0.02</v>
      </c>
      <c r="J176" s="4">
        <v>113135</v>
      </c>
      <c r="K176" s="4">
        <f t="shared" si="2"/>
        <v>28283.75</v>
      </c>
      <c r="L176" s="4" t="s">
        <v>55</v>
      </c>
      <c r="M176" s="4" t="s">
        <v>54</v>
      </c>
      <c r="N17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77" spans="1:14">
      <c r="A177" s="6">
        <v>10176</v>
      </c>
      <c r="B177" s="5">
        <v>45305</v>
      </c>
      <c r="C177" s="4" t="s">
        <v>35</v>
      </c>
      <c r="D177" s="4" t="s">
        <v>26</v>
      </c>
      <c r="E177" s="4" t="s">
        <v>45</v>
      </c>
      <c r="F177" s="4" t="s">
        <v>57</v>
      </c>
      <c r="G177" s="4">
        <v>3</v>
      </c>
      <c r="H177" s="4">
        <v>47881</v>
      </c>
      <c r="I177" s="4">
        <v>0.01</v>
      </c>
      <c r="J177" s="4">
        <v>143643</v>
      </c>
      <c r="K177" s="4">
        <f t="shared" si="2"/>
        <v>50275.049999999996</v>
      </c>
      <c r="L177" s="4" t="s">
        <v>67</v>
      </c>
      <c r="M177" s="4" t="s">
        <v>30</v>
      </c>
      <c r="N17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78" spans="1:14">
      <c r="A178" s="6">
        <v>10177</v>
      </c>
      <c r="B178" s="5">
        <v>45330</v>
      </c>
      <c r="C178" s="4" t="s">
        <v>43</v>
      </c>
      <c r="D178" s="4" t="s">
        <v>32</v>
      </c>
      <c r="E178" s="4" t="s">
        <v>45</v>
      </c>
      <c r="F178" s="4" t="s">
        <v>60</v>
      </c>
      <c r="G178" s="4">
        <v>8</v>
      </c>
      <c r="H178" s="4">
        <v>43641</v>
      </c>
      <c r="I178" s="4">
        <v>0.01</v>
      </c>
      <c r="J178" s="4">
        <v>349128</v>
      </c>
      <c r="K178" s="4">
        <f t="shared" si="2"/>
        <v>122194.79999999999</v>
      </c>
      <c r="L178" s="4" t="s">
        <v>29</v>
      </c>
      <c r="M178" s="4" t="s">
        <v>30</v>
      </c>
      <c r="N17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79" spans="1:14">
      <c r="A179" s="6">
        <v>10178</v>
      </c>
      <c r="B179" s="5">
        <v>45333</v>
      </c>
      <c r="C179" s="4" t="s">
        <v>25</v>
      </c>
      <c r="D179" s="4" t="s">
        <v>63</v>
      </c>
      <c r="E179" s="4" t="s">
        <v>45</v>
      </c>
      <c r="F179" s="4" t="s">
        <v>60</v>
      </c>
      <c r="G179" s="4">
        <v>7</v>
      </c>
      <c r="H179" s="4">
        <v>8052</v>
      </c>
      <c r="I179" s="4">
        <v>0.02</v>
      </c>
      <c r="J179" s="4">
        <v>56364</v>
      </c>
      <c r="K179" s="4">
        <f t="shared" si="2"/>
        <v>19727.399999999998</v>
      </c>
      <c r="L179" s="4" t="s">
        <v>29</v>
      </c>
      <c r="M179" s="4" t="s">
        <v>30</v>
      </c>
      <c r="N17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80" spans="1:14">
      <c r="A180" s="6">
        <v>10179</v>
      </c>
      <c r="B180" s="5">
        <v>45521</v>
      </c>
      <c r="C180" s="4" t="s">
        <v>35</v>
      </c>
      <c r="D180" s="4" t="s">
        <v>20</v>
      </c>
      <c r="E180" s="4" t="s">
        <v>16</v>
      </c>
      <c r="F180" s="4" t="s">
        <v>17</v>
      </c>
      <c r="G180" s="4">
        <v>8</v>
      </c>
      <c r="H180" s="4">
        <v>25611</v>
      </c>
      <c r="I180" s="4">
        <v>0.05</v>
      </c>
      <c r="J180" s="4">
        <v>204888</v>
      </c>
      <c r="K180" s="4">
        <f t="shared" si="2"/>
        <v>40977.600000000006</v>
      </c>
      <c r="L180" s="4" t="s">
        <v>61</v>
      </c>
      <c r="M180" s="4" t="s">
        <v>54</v>
      </c>
      <c r="N18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81" spans="1:14">
      <c r="A181" s="6">
        <v>10180</v>
      </c>
      <c r="B181" s="5">
        <v>45612</v>
      </c>
      <c r="C181" s="4" t="s">
        <v>14</v>
      </c>
      <c r="D181" s="4" t="s">
        <v>63</v>
      </c>
      <c r="E181" s="4" t="s">
        <v>45</v>
      </c>
      <c r="F181" s="4" t="s">
        <v>57</v>
      </c>
      <c r="G181" s="4">
        <v>6</v>
      </c>
      <c r="H181" s="4">
        <v>24669</v>
      </c>
      <c r="I181" s="4">
        <v>0</v>
      </c>
      <c r="J181" s="4">
        <v>148014</v>
      </c>
      <c r="K181" s="4">
        <f t="shared" si="2"/>
        <v>51804.899999999994</v>
      </c>
      <c r="L181" s="4" t="s">
        <v>47</v>
      </c>
      <c r="M181" s="4" t="s">
        <v>24</v>
      </c>
      <c r="N18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82" spans="1:14">
      <c r="A182" s="6">
        <v>10181</v>
      </c>
      <c r="B182" s="5">
        <v>45489</v>
      </c>
      <c r="C182" s="4" t="s">
        <v>25</v>
      </c>
      <c r="D182" s="4" t="s">
        <v>20</v>
      </c>
      <c r="E182" s="4" t="s">
        <v>16</v>
      </c>
      <c r="F182" s="4" t="s">
        <v>17</v>
      </c>
      <c r="G182" s="4">
        <v>8</v>
      </c>
      <c r="H182" s="4">
        <v>11617</v>
      </c>
      <c r="I182" s="4">
        <v>0</v>
      </c>
      <c r="J182" s="4">
        <v>92936</v>
      </c>
      <c r="K182" s="4">
        <f t="shared" si="2"/>
        <v>18587.2</v>
      </c>
      <c r="L182" s="4" t="s">
        <v>53</v>
      </c>
      <c r="M182" s="4" t="s">
        <v>54</v>
      </c>
      <c r="N18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83" spans="1:14">
      <c r="A183" s="6">
        <v>10182</v>
      </c>
      <c r="B183" s="5">
        <v>45435</v>
      </c>
      <c r="C183" s="4" t="s">
        <v>43</v>
      </c>
      <c r="D183" s="4" t="s">
        <v>41</v>
      </c>
      <c r="E183" s="4" t="s">
        <v>16</v>
      </c>
      <c r="F183" s="4" t="s">
        <v>17</v>
      </c>
      <c r="G183" s="4">
        <v>4</v>
      </c>
      <c r="H183" s="4">
        <v>46105</v>
      </c>
      <c r="I183" s="4">
        <v>0.05</v>
      </c>
      <c r="J183" s="4">
        <v>184420</v>
      </c>
      <c r="K183" s="4">
        <f t="shared" si="2"/>
        <v>36884</v>
      </c>
      <c r="L183" s="4" t="s">
        <v>50</v>
      </c>
      <c r="M183" s="4" t="s">
        <v>19</v>
      </c>
      <c r="N18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84" spans="1:14">
      <c r="A184" s="6">
        <v>10183</v>
      </c>
      <c r="B184" s="5">
        <v>45497</v>
      </c>
      <c r="C184" s="4" t="s">
        <v>14</v>
      </c>
      <c r="D184" s="4" t="s">
        <v>32</v>
      </c>
      <c r="E184" s="4" t="s">
        <v>21</v>
      </c>
      <c r="F184" s="4" t="s">
        <v>22</v>
      </c>
      <c r="G184" s="4">
        <v>4</v>
      </c>
      <c r="H184" s="4">
        <v>4040</v>
      </c>
      <c r="I184" s="4">
        <v>0.02</v>
      </c>
      <c r="J184" s="4">
        <v>16160</v>
      </c>
      <c r="K184" s="4">
        <f t="shared" si="2"/>
        <v>4848</v>
      </c>
      <c r="L184" s="4" t="s">
        <v>53</v>
      </c>
      <c r="M184" s="4" t="s">
        <v>54</v>
      </c>
      <c r="N18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85" spans="1:14">
      <c r="A185" s="6">
        <v>10184</v>
      </c>
      <c r="B185" s="5">
        <v>45316</v>
      </c>
      <c r="C185" s="4" t="s">
        <v>31</v>
      </c>
      <c r="D185" s="4" t="s">
        <v>36</v>
      </c>
      <c r="E185" s="4" t="s">
        <v>16</v>
      </c>
      <c r="F185" s="4" t="s">
        <v>65</v>
      </c>
      <c r="G185" s="4">
        <v>1</v>
      </c>
      <c r="H185" s="4">
        <v>18014</v>
      </c>
      <c r="I185" s="4">
        <v>0</v>
      </c>
      <c r="J185" s="4">
        <v>18014</v>
      </c>
      <c r="K185" s="4">
        <f t="shared" si="2"/>
        <v>3602.8</v>
      </c>
      <c r="L185" s="4" t="s">
        <v>67</v>
      </c>
      <c r="M185" s="4" t="s">
        <v>30</v>
      </c>
      <c r="N18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86" spans="1:14">
      <c r="A186" s="6">
        <v>10185</v>
      </c>
      <c r="B186" s="5">
        <v>45436</v>
      </c>
      <c r="C186" s="4" t="s">
        <v>43</v>
      </c>
      <c r="D186" s="4" t="s">
        <v>63</v>
      </c>
      <c r="E186" s="4" t="s">
        <v>33</v>
      </c>
      <c r="F186" s="4" t="s">
        <v>66</v>
      </c>
      <c r="G186" s="4">
        <v>9</v>
      </c>
      <c r="H186" s="4">
        <v>28213</v>
      </c>
      <c r="I186" s="4">
        <v>0</v>
      </c>
      <c r="J186" s="4">
        <v>253917</v>
      </c>
      <c r="K186" s="4">
        <f t="shared" si="2"/>
        <v>63479.25</v>
      </c>
      <c r="L186" s="4" t="s">
        <v>50</v>
      </c>
      <c r="M186" s="4" t="s">
        <v>19</v>
      </c>
      <c r="N18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87" spans="1:14">
      <c r="A187" s="6">
        <v>10186</v>
      </c>
      <c r="B187" s="5">
        <v>45609</v>
      </c>
      <c r="C187" s="4" t="s">
        <v>43</v>
      </c>
      <c r="D187" s="4" t="s">
        <v>63</v>
      </c>
      <c r="E187" s="4" t="s">
        <v>16</v>
      </c>
      <c r="F187" s="4" t="s">
        <v>17</v>
      </c>
      <c r="G187" s="4">
        <v>5</v>
      </c>
      <c r="H187" s="4">
        <v>29482</v>
      </c>
      <c r="I187" s="4">
        <v>0.01</v>
      </c>
      <c r="J187" s="4">
        <v>147410</v>
      </c>
      <c r="K187" s="4">
        <f t="shared" si="2"/>
        <v>29482</v>
      </c>
      <c r="L187" s="4" t="s">
        <v>47</v>
      </c>
      <c r="M187" s="4" t="s">
        <v>24</v>
      </c>
      <c r="N18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88" spans="1:14">
      <c r="A188" s="6">
        <v>10187</v>
      </c>
      <c r="B188" s="5">
        <v>45335</v>
      </c>
      <c r="C188" s="4" t="s">
        <v>43</v>
      </c>
      <c r="D188" s="4" t="s">
        <v>63</v>
      </c>
      <c r="E188" s="4" t="s">
        <v>16</v>
      </c>
      <c r="F188" s="4" t="s">
        <v>49</v>
      </c>
      <c r="G188" s="4">
        <v>8</v>
      </c>
      <c r="H188" s="4">
        <v>30371</v>
      </c>
      <c r="I188" s="4">
        <v>0.01</v>
      </c>
      <c r="J188" s="4">
        <v>242968</v>
      </c>
      <c r="K188" s="4">
        <f t="shared" si="2"/>
        <v>48593.600000000006</v>
      </c>
      <c r="L188" s="4" t="s">
        <v>29</v>
      </c>
      <c r="M188" s="4" t="s">
        <v>30</v>
      </c>
      <c r="N18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89" spans="1:14">
      <c r="A189" s="6">
        <v>10188</v>
      </c>
      <c r="B189" s="5">
        <v>45390</v>
      </c>
      <c r="C189" s="4" t="s">
        <v>14</v>
      </c>
      <c r="D189" s="4" t="s">
        <v>63</v>
      </c>
      <c r="E189" s="4" t="s">
        <v>21</v>
      </c>
      <c r="F189" s="4" t="s">
        <v>52</v>
      </c>
      <c r="G189" s="4">
        <v>4</v>
      </c>
      <c r="H189" s="4">
        <v>46799</v>
      </c>
      <c r="I189" s="4">
        <v>0</v>
      </c>
      <c r="J189" s="4">
        <v>187196</v>
      </c>
      <c r="K189" s="4">
        <f t="shared" si="2"/>
        <v>56158.799999999996</v>
      </c>
      <c r="L189" s="4" t="s">
        <v>37</v>
      </c>
      <c r="M189" s="4" t="s">
        <v>19</v>
      </c>
      <c r="N18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90" spans="1:14">
      <c r="A190" s="6">
        <v>10189</v>
      </c>
      <c r="B190" s="5">
        <v>45493</v>
      </c>
      <c r="C190" s="4" t="s">
        <v>48</v>
      </c>
      <c r="D190" s="4" t="s">
        <v>38</v>
      </c>
      <c r="E190" s="4" t="s">
        <v>16</v>
      </c>
      <c r="F190" s="4" t="s">
        <v>65</v>
      </c>
      <c r="G190" s="4">
        <v>7</v>
      </c>
      <c r="H190" s="4">
        <v>7704</v>
      </c>
      <c r="I190" s="4">
        <v>0.05</v>
      </c>
      <c r="J190" s="4">
        <v>53928</v>
      </c>
      <c r="K190" s="4">
        <f t="shared" si="2"/>
        <v>10785.6</v>
      </c>
      <c r="L190" s="4" t="s">
        <v>53</v>
      </c>
      <c r="M190" s="4" t="s">
        <v>54</v>
      </c>
      <c r="N19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91" spans="1:14">
      <c r="A191" s="6">
        <v>10190</v>
      </c>
      <c r="B191" s="5">
        <v>45335</v>
      </c>
      <c r="C191" s="4" t="s">
        <v>35</v>
      </c>
      <c r="D191" s="4" t="s">
        <v>51</v>
      </c>
      <c r="E191" s="4" t="s">
        <v>45</v>
      </c>
      <c r="F191" s="4" t="s">
        <v>46</v>
      </c>
      <c r="G191" s="4">
        <v>6</v>
      </c>
      <c r="H191" s="4">
        <v>35503</v>
      </c>
      <c r="I191" s="4">
        <v>0.01</v>
      </c>
      <c r="J191" s="4">
        <v>213018</v>
      </c>
      <c r="K191" s="4">
        <f t="shared" si="2"/>
        <v>74556.299999999988</v>
      </c>
      <c r="L191" s="4" t="s">
        <v>29</v>
      </c>
      <c r="M191" s="4" t="s">
        <v>30</v>
      </c>
      <c r="N19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92" spans="1:14">
      <c r="A192" s="6">
        <v>10191</v>
      </c>
      <c r="B192" s="5">
        <v>45604</v>
      </c>
      <c r="C192" s="4" t="s">
        <v>48</v>
      </c>
      <c r="D192" s="4" t="s">
        <v>26</v>
      </c>
      <c r="E192" s="4" t="s">
        <v>21</v>
      </c>
      <c r="F192" s="4" t="s">
        <v>56</v>
      </c>
      <c r="G192" s="4">
        <v>2</v>
      </c>
      <c r="H192" s="4">
        <v>20201</v>
      </c>
      <c r="I192" s="4">
        <v>0.01</v>
      </c>
      <c r="J192" s="4">
        <v>40402</v>
      </c>
      <c r="K192" s="4">
        <f t="shared" si="2"/>
        <v>12120.6</v>
      </c>
      <c r="L192" s="4" t="s">
        <v>47</v>
      </c>
      <c r="M192" s="4" t="s">
        <v>24</v>
      </c>
      <c r="N19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93" spans="1:14">
      <c r="A193" s="6">
        <v>10192</v>
      </c>
      <c r="B193" s="5">
        <v>45572</v>
      </c>
      <c r="C193" s="4" t="s">
        <v>31</v>
      </c>
      <c r="D193" s="4" t="s">
        <v>20</v>
      </c>
      <c r="E193" s="4" t="s">
        <v>45</v>
      </c>
      <c r="F193" s="4" t="s">
        <v>60</v>
      </c>
      <c r="G193" s="4">
        <v>4</v>
      </c>
      <c r="H193" s="4">
        <v>48556</v>
      </c>
      <c r="I193" s="4">
        <v>0</v>
      </c>
      <c r="J193" s="4">
        <v>194224</v>
      </c>
      <c r="K193" s="4">
        <f t="shared" si="2"/>
        <v>67978.399999999994</v>
      </c>
      <c r="L193" s="4" t="s">
        <v>58</v>
      </c>
      <c r="M193" s="4" t="s">
        <v>24</v>
      </c>
      <c r="N19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94" spans="1:14">
      <c r="A194" s="6">
        <v>10193</v>
      </c>
      <c r="B194" s="5">
        <v>45518</v>
      </c>
      <c r="C194" s="4" t="s">
        <v>14</v>
      </c>
      <c r="D194" s="4" t="s">
        <v>38</v>
      </c>
      <c r="E194" s="4" t="s">
        <v>16</v>
      </c>
      <c r="F194" s="4" t="s">
        <v>65</v>
      </c>
      <c r="G194" s="4">
        <v>7</v>
      </c>
      <c r="H194" s="4">
        <v>4083</v>
      </c>
      <c r="I194" s="4">
        <v>0</v>
      </c>
      <c r="J194" s="4">
        <v>28581</v>
      </c>
      <c r="K194" s="4">
        <f t="shared" ref="K194:K257" si="3">J194*N194</f>
        <v>5716.2000000000007</v>
      </c>
      <c r="L194" s="4" t="s">
        <v>61</v>
      </c>
      <c r="M194" s="4" t="s">
        <v>54</v>
      </c>
      <c r="N19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95" spans="1:14">
      <c r="A195" s="6">
        <v>10194</v>
      </c>
      <c r="B195" s="5">
        <v>45621</v>
      </c>
      <c r="C195" s="4" t="s">
        <v>31</v>
      </c>
      <c r="D195" s="4" t="s">
        <v>32</v>
      </c>
      <c r="E195" s="4" t="s">
        <v>33</v>
      </c>
      <c r="F195" s="4" t="s">
        <v>66</v>
      </c>
      <c r="G195" s="4">
        <v>8</v>
      </c>
      <c r="H195" s="4">
        <v>30301</v>
      </c>
      <c r="I195" s="4">
        <v>0</v>
      </c>
      <c r="J195" s="4">
        <v>242408</v>
      </c>
      <c r="K195" s="4">
        <f t="shared" si="3"/>
        <v>60602</v>
      </c>
      <c r="L195" s="4" t="s">
        <v>47</v>
      </c>
      <c r="M195" s="4" t="s">
        <v>24</v>
      </c>
      <c r="N19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196" spans="1:14">
      <c r="A196" s="6">
        <v>10195</v>
      </c>
      <c r="B196" s="5">
        <v>45599</v>
      </c>
      <c r="C196" s="4" t="s">
        <v>25</v>
      </c>
      <c r="D196" s="4" t="s">
        <v>41</v>
      </c>
      <c r="E196" s="4" t="s">
        <v>45</v>
      </c>
      <c r="F196" s="4" t="s">
        <v>57</v>
      </c>
      <c r="G196" s="4">
        <v>4</v>
      </c>
      <c r="H196" s="4">
        <v>21421</v>
      </c>
      <c r="I196" s="4">
        <v>0.01</v>
      </c>
      <c r="J196" s="4">
        <v>85684</v>
      </c>
      <c r="K196" s="4">
        <f t="shared" si="3"/>
        <v>29989.399999999998</v>
      </c>
      <c r="L196" s="4" t="s">
        <v>47</v>
      </c>
      <c r="M196" s="4" t="s">
        <v>24</v>
      </c>
      <c r="N19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197" spans="1:14">
      <c r="A197" s="6">
        <v>10196</v>
      </c>
      <c r="B197" s="5">
        <v>45563</v>
      </c>
      <c r="C197" s="4" t="s">
        <v>31</v>
      </c>
      <c r="D197" s="4" t="s">
        <v>26</v>
      </c>
      <c r="E197" s="4" t="s">
        <v>16</v>
      </c>
      <c r="F197" s="4" t="s">
        <v>49</v>
      </c>
      <c r="G197" s="4">
        <v>4</v>
      </c>
      <c r="H197" s="4">
        <v>20169</v>
      </c>
      <c r="I197" s="4">
        <v>0</v>
      </c>
      <c r="J197" s="4">
        <v>80676</v>
      </c>
      <c r="K197" s="4">
        <f t="shared" si="3"/>
        <v>16135.2</v>
      </c>
      <c r="L197" s="4" t="s">
        <v>55</v>
      </c>
      <c r="M197" s="4" t="s">
        <v>54</v>
      </c>
      <c r="N19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198" spans="1:14">
      <c r="A198" s="6">
        <v>10197</v>
      </c>
      <c r="B198" s="5">
        <v>45513</v>
      </c>
      <c r="C198" s="4" t="s">
        <v>14</v>
      </c>
      <c r="D198" s="4" t="s">
        <v>38</v>
      </c>
      <c r="E198" s="4" t="s">
        <v>21</v>
      </c>
      <c r="F198" s="4" t="s">
        <v>22</v>
      </c>
      <c r="G198" s="4">
        <v>5</v>
      </c>
      <c r="H198" s="4">
        <v>36585</v>
      </c>
      <c r="I198" s="4">
        <v>0.02</v>
      </c>
      <c r="J198" s="4">
        <v>182925</v>
      </c>
      <c r="K198" s="4">
        <f t="shared" si="3"/>
        <v>54877.5</v>
      </c>
      <c r="L198" s="4" t="s">
        <v>61</v>
      </c>
      <c r="M198" s="4" t="s">
        <v>54</v>
      </c>
      <c r="N19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199" spans="1:14">
      <c r="A199" s="6">
        <v>10198</v>
      </c>
      <c r="B199" s="5">
        <v>45581</v>
      </c>
      <c r="C199" s="4" t="s">
        <v>31</v>
      </c>
      <c r="D199" s="4" t="s">
        <v>63</v>
      </c>
      <c r="E199" s="4" t="s">
        <v>27</v>
      </c>
      <c r="F199" s="4" t="s">
        <v>64</v>
      </c>
      <c r="G199" s="4">
        <v>4</v>
      </c>
      <c r="H199" s="4">
        <v>38174</v>
      </c>
      <c r="I199" s="4">
        <v>0.01</v>
      </c>
      <c r="J199" s="4">
        <v>152696</v>
      </c>
      <c r="K199" s="4">
        <f t="shared" si="3"/>
        <v>15269.6</v>
      </c>
      <c r="L199" s="4" t="s">
        <v>58</v>
      </c>
      <c r="M199" s="4" t="s">
        <v>24</v>
      </c>
      <c r="N19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00" spans="1:14">
      <c r="A200" s="6">
        <v>10199</v>
      </c>
      <c r="B200" s="5">
        <v>45471</v>
      </c>
      <c r="C200" s="4" t="s">
        <v>48</v>
      </c>
      <c r="D200" s="4" t="s">
        <v>41</v>
      </c>
      <c r="E200" s="4" t="s">
        <v>27</v>
      </c>
      <c r="F200" s="4" t="s">
        <v>64</v>
      </c>
      <c r="G200" s="4">
        <v>4</v>
      </c>
      <c r="H200" s="4">
        <v>37875</v>
      </c>
      <c r="I200" s="4">
        <v>0.02</v>
      </c>
      <c r="J200" s="4">
        <v>151500</v>
      </c>
      <c r="K200" s="4">
        <f t="shared" si="3"/>
        <v>15150</v>
      </c>
      <c r="L200" s="4" t="s">
        <v>18</v>
      </c>
      <c r="M200" s="4" t="s">
        <v>19</v>
      </c>
      <c r="N20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01" spans="1:14">
      <c r="A201" s="6">
        <v>10200</v>
      </c>
      <c r="B201" s="5">
        <v>45422</v>
      </c>
      <c r="C201" s="4" t="s">
        <v>43</v>
      </c>
      <c r="D201" s="4" t="s">
        <v>51</v>
      </c>
      <c r="E201" s="4" t="s">
        <v>21</v>
      </c>
      <c r="F201" s="4" t="s">
        <v>22</v>
      </c>
      <c r="G201" s="4">
        <v>6</v>
      </c>
      <c r="H201" s="4">
        <v>29495</v>
      </c>
      <c r="I201" s="4">
        <v>0.02</v>
      </c>
      <c r="J201" s="4">
        <v>176970</v>
      </c>
      <c r="K201" s="4">
        <f t="shared" si="3"/>
        <v>53091</v>
      </c>
      <c r="L201" s="4" t="s">
        <v>50</v>
      </c>
      <c r="M201" s="4" t="s">
        <v>19</v>
      </c>
      <c r="N20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02" spans="1:14">
      <c r="A202" s="6">
        <v>10201</v>
      </c>
      <c r="B202" s="5">
        <v>45628</v>
      </c>
      <c r="C202" s="4" t="s">
        <v>35</v>
      </c>
      <c r="D202" s="4" t="s">
        <v>32</v>
      </c>
      <c r="E202" s="4" t="s">
        <v>16</v>
      </c>
      <c r="F202" s="4" t="s">
        <v>65</v>
      </c>
      <c r="G202" s="4">
        <v>2</v>
      </c>
      <c r="H202" s="4">
        <v>21609</v>
      </c>
      <c r="I202" s="4">
        <v>0.02</v>
      </c>
      <c r="J202" s="4">
        <v>43218</v>
      </c>
      <c r="K202" s="4">
        <f t="shared" si="3"/>
        <v>8643.6</v>
      </c>
      <c r="L202" s="4" t="s">
        <v>23</v>
      </c>
      <c r="M202" s="4" t="s">
        <v>24</v>
      </c>
      <c r="N20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03" spans="1:14">
      <c r="A203" s="6">
        <v>10202</v>
      </c>
      <c r="B203" s="5">
        <v>45404</v>
      </c>
      <c r="C203" s="4" t="s">
        <v>14</v>
      </c>
      <c r="D203" s="4" t="s">
        <v>38</v>
      </c>
      <c r="E203" s="4" t="s">
        <v>45</v>
      </c>
      <c r="F203" s="4" t="s">
        <v>60</v>
      </c>
      <c r="G203" s="4">
        <v>2</v>
      </c>
      <c r="H203" s="4">
        <v>9984</v>
      </c>
      <c r="I203" s="4">
        <v>0</v>
      </c>
      <c r="J203" s="4">
        <v>19968</v>
      </c>
      <c r="K203" s="4">
        <f t="shared" si="3"/>
        <v>6988.7999999999993</v>
      </c>
      <c r="L203" s="4" t="s">
        <v>37</v>
      </c>
      <c r="M203" s="4" t="s">
        <v>19</v>
      </c>
      <c r="N20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04" spans="1:14">
      <c r="A204" s="6">
        <v>10203</v>
      </c>
      <c r="B204" s="5">
        <v>45390</v>
      </c>
      <c r="C204" s="4" t="s">
        <v>48</v>
      </c>
      <c r="D204" s="4" t="s">
        <v>15</v>
      </c>
      <c r="E204" s="4" t="s">
        <v>45</v>
      </c>
      <c r="F204" s="4" t="s">
        <v>46</v>
      </c>
      <c r="G204" s="4">
        <v>6</v>
      </c>
      <c r="H204" s="4">
        <v>9429</v>
      </c>
      <c r="I204" s="4">
        <v>0</v>
      </c>
      <c r="J204" s="4">
        <v>56574</v>
      </c>
      <c r="K204" s="4">
        <f t="shared" si="3"/>
        <v>19800.899999999998</v>
      </c>
      <c r="L204" s="4" t="s">
        <v>37</v>
      </c>
      <c r="M204" s="4" t="s">
        <v>19</v>
      </c>
      <c r="N20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05" spans="1:14">
      <c r="A205" s="6">
        <v>10204</v>
      </c>
      <c r="B205" s="5">
        <v>45314</v>
      </c>
      <c r="C205" s="4" t="s">
        <v>25</v>
      </c>
      <c r="D205" s="4" t="s">
        <v>41</v>
      </c>
      <c r="E205" s="4" t="s">
        <v>16</v>
      </c>
      <c r="F205" s="4" t="s">
        <v>17</v>
      </c>
      <c r="G205" s="4">
        <v>2</v>
      </c>
      <c r="H205" s="4">
        <v>49519</v>
      </c>
      <c r="I205" s="4">
        <v>0</v>
      </c>
      <c r="J205" s="4">
        <v>99038</v>
      </c>
      <c r="K205" s="4">
        <f t="shared" si="3"/>
        <v>19807.600000000002</v>
      </c>
      <c r="L205" s="4" t="s">
        <v>67</v>
      </c>
      <c r="M205" s="4" t="s">
        <v>30</v>
      </c>
      <c r="N20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06" spans="1:14">
      <c r="A206" s="6">
        <v>10205</v>
      </c>
      <c r="B206" s="5">
        <v>45508</v>
      </c>
      <c r="C206" s="4" t="s">
        <v>31</v>
      </c>
      <c r="D206" s="4" t="s">
        <v>44</v>
      </c>
      <c r="E206" s="4" t="s">
        <v>45</v>
      </c>
      <c r="F206" s="4" t="s">
        <v>57</v>
      </c>
      <c r="G206" s="4">
        <v>2</v>
      </c>
      <c r="H206" s="4">
        <v>36262</v>
      </c>
      <c r="I206" s="4">
        <v>0.01</v>
      </c>
      <c r="J206" s="4">
        <v>72524</v>
      </c>
      <c r="K206" s="4">
        <f t="shared" si="3"/>
        <v>25383.399999999998</v>
      </c>
      <c r="L206" s="4" t="s">
        <v>61</v>
      </c>
      <c r="M206" s="4" t="s">
        <v>54</v>
      </c>
      <c r="N20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07" spans="1:14">
      <c r="A207" s="6">
        <v>10206</v>
      </c>
      <c r="B207" s="5">
        <v>45598</v>
      </c>
      <c r="C207" s="4" t="s">
        <v>43</v>
      </c>
      <c r="D207" s="4" t="s">
        <v>32</v>
      </c>
      <c r="E207" s="4" t="s">
        <v>21</v>
      </c>
      <c r="F207" s="4" t="s">
        <v>56</v>
      </c>
      <c r="G207" s="4">
        <v>5</v>
      </c>
      <c r="H207" s="4">
        <v>43913</v>
      </c>
      <c r="I207" s="4">
        <v>0.01</v>
      </c>
      <c r="J207" s="4">
        <v>219565</v>
      </c>
      <c r="K207" s="4">
        <f t="shared" si="3"/>
        <v>65869.5</v>
      </c>
      <c r="L207" s="4" t="s">
        <v>47</v>
      </c>
      <c r="M207" s="4" t="s">
        <v>24</v>
      </c>
      <c r="N20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08" spans="1:14">
      <c r="A208" s="6">
        <v>10207</v>
      </c>
      <c r="B208" s="5">
        <v>45327</v>
      </c>
      <c r="C208" s="4" t="s">
        <v>35</v>
      </c>
      <c r="D208" s="4" t="s">
        <v>51</v>
      </c>
      <c r="E208" s="4" t="s">
        <v>27</v>
      </c>
      <c r="F208" s="4" t="s">
        <v>62</v>
      </c>
      <c r="G208" s="4">
        <v>9</v>
      </c>
      <c r="H208" s="4">
        <v>38846</v>
      </c>
      <c r="I208" s="4">
        <v>0.02</v>
      </c>
      <c r="J208" s="4">
        <v>349614</v>
      </c>
      <c r="K208" s="4">
        <f t="shared" si="3"/>
        <v>34961.4</v>
      </c>
      <c r="L208" s="4" t="s">
        <v>29</v>
      </c>
      <c r="M208" s="4" t="s">
        <v>30</v>
      </c>
      <c r="N20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09" spans="1:14">
      <c r="A209" s="6">
        <v>10208</v>
      </c>
      <c r="B209" s="5">
        <v>45635</v>
      </c>
      <c r="C209" s="4" t="s">
        <v>31</v>
      </c>
      <c r="D209" s="4" t="s">
        <v>32</v>
      </c>
      <c r="E209" s="4" t="s">
        <v>33</v>
      </c>
      <c r="F209" s="4" t="s">
        <v>59</v>
      </c>
      <c r="G209" s="4">
        <v>7</v>
      </c>
      <c r="H209" s="4">
        <v>32823</v>
      </c>
      <c r="I209" s="4">
        <v>0.05</v>
      </c>
      <c r="J209" s="4">
        <v>229761</v>
      </c>
      <c r="K209" s="4">
        <f t="shared" si="3"/>
        <v>57440.25</v>
      </c>
      <c r="L209" s="4" t="s">
        <v>23</v>
      </c>
      <c r="M209" s="4" t="s">
        <v>24</v>
      </c>
      <c r="N20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10" spans="1:14">
      <c r="A210" s="6">
        <v>10209</v>
      </c>
      <c r="B210" s="5">
        <v>45435</v>
      </c>
      <c r="C210" s="4" t="s">
        <v>25</v>
      </c>
      <c r="D210" s="4" t="s">
        <v>41</v>
      </c>
      <c r="E210" s="4" t="s">
        <v>45</v>
      </c>
      <c r="F210" s="4" t="s">
        <v>46</v>
      </c>
      <c r="G210" s="4">
        <v>7</v>
      </c>
      <c r="H210" s="4">
        <v>35171</v>
      </c>
      <c r="I210" s="4">
        <v>0.05</v>
      </c>
      <c r="J210" s="4">
        <v>246197</v>
      </c>
      <c r="K210" s="4">
        <f t="shared" si="3"/>
        <v>86168.95</v>
      </c>
      <c r="L210" s="4" t="s">
        <v>50</v>
      </c>
      <c r="M210" s="4" t="s">
        <v>19</v>
      </c>
      <c r="N21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11" spans="1:14">
      <c r="A211" s="6">
        <v>10210</v>
      </c>
      <c r="B211" s="5">
        <v>45656</v>
      </c>
      <c r="C211" s="4" t="s">
        <v>14</v>
      </c>
      <c r="D211" s="4" t="s">
        <v>41</v>
      </c>
      <c r="E211" s="4" t="s">
        <v>45</v>
      </c>
      <c r="F211" s="4" t="s">
        <v>60</v>
      </c>
      <c r="G211" s="4">
        <v>4</v>
      </c>
      <c r="H211" s="4">
        <v>6693</v>
      </c>
      <c r="I211" s="4">
        <v>0.05</v>
      </c>
      <c r="J211" s="4">
        <v>26772</v>
      </c>
      <c r="K211" s="4">
        <f t="shared" si="3"/>
        <v>9370.1999999999989</v>
      </c>
      <c r="L211" s="4" t="s">
        <v>23</v>
      </c>
      <c r="M211" s="4" t="s">
        <v>24</v>
      </c>
      <c r="N21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12" spans="1:14">
      <c r="A212" s="6">
        <v>10211</v>
      </c>
      <c r="B212" s="5">
        <v>45314</v>
      </c>
      <c r="C212" s="4" t="s">
        <v>48</v>
      </c>
      <c r="D212" s="4" t="s">
        <v>63</v>
      </c>
      <c r="E212" s="4" t="s">
        <v>27</v>
      </c>
      <c r="F212" s="4" t="s">
        <v>62</v>
      </c>
      <c r="G212" s="4">
        <v>5</v>
      </c>
      <c r="H212" s="4">
        <v>39908</v>
      </c>
      <c r="I212" s="4">
        <v>0.01</v>
      </c>
      <c r="J212" s="4">
        <v>199540</v>
      </c>
      <c r="K212" s="4">
        <f t="shared" si="3"/>
        <v>19954</v>
      </c>
      <c r="L212" s="4" t="s">
        <v>67</v>
      </c>
      <c r="M212" s="4" t="s">
        <v>30</v>
      </c>
      <c r="N21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13" spans="1:14">
      <c r="A213" s="6">
        <v>10212</v>
      </c>
      <c r="B213" s="5">
        <v>45392</v>
      </c>
      <c r="C213" s="4" t="s">
        <v>43</v>
      </c>
      <c r="D213" s="4" t="s">
        <v>41</v>
      </c>
      <c r="E213" s="4" t="s">
        <v>21</v>
      </c>
      <c r="F213" s="4" t="s">
        <v>52</v>
      </c>
      <c r="G213" s="4">
        <v>6</v>
      </c>
      <c r="H213" s="4">
        <v>38605</v>
      </c>
      <c r="I213" s="4">
        <v>0.02</v>
      </c>
      <c r="J213" s="4">
        <v>231630</v>
      </c>
      <c r="K213" s="4">
        <f t="shared" si="3"/>
        <v>69489</v>
      </c>
      <c r="L213" s="4" t="s">
        <v>37</v>
      </c>
      <c r="M213" s="4" t="s">
        <v>19</v>
      </c>
      <c r="N21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14" spans="1:14">
      <c r="A214" s="6">
        <v>10213</v>
      </c>
      <c r="B214" s="5">
        <v>45338</v>
      </c>
      <c r="C214" s="4" t="s">
        <v>35</v>
      </c>
      <c r="D214" s="4" t="s">
        <v>15</v>
      </c>
      <c r="E214" s="4" t="s">
        <v>21</v>
      </c>
      <c r="F214" s="4" t="s">
        <v>56</v>
      </c>
      <c r="G214" s="4">
        <v>5</v>
      </c>
      <c r="H214" s="4">
        <v>25817</v>
      </c>
      <c r="I214" s="4">
        <v>0</v>
      </c>
      <c r="J214" s="4">
        <v>129085</v>
      </c>
      <c r="K214" s="4">
        <f t="shared" si="3"/>
        <v>38725.5</v>
      </c>
      <c r="L214" s="4" t="s">
        <v>29</v>
      </c>
      <c r="M214" s="4" t="s">
        <v>30</v>
      </c>
      <c r="N21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15" spans="1:14">
      <c r="A215" s="6">
        <v>10214</v>
      </c>
      <c r="B215" s="5">
        <v>45328</v>
      </c>
      <c r="C215" s="4" t="s">
        <v>31</v>
      </c>
      <c r="D215" s="4" t="s">
        <v>15</v>
      </c>
      <c r="E215" s="4" t="s">
        <v>33</v>
      </c>
      <c r="F215" s="4" t="s">
        <v>59</v>
      </c>
      <c r="G215" s="4">
        <v>3</v>
      </c>
      <c r="H215" s="4">
        <v>5795</v>
      </c>
      <c r="I215" s="4">
        <v>0.02</v>
      </c>
      <c r="J215" s="4">
        <v>17385</v>
      </c>
      <c r="K215" s="4">
        <f t="shared" si="3"/>
        <v>4346.25</v>
      </c>
      <c r="L215" s="4" t="s">
        <v>29</v>
      </c>
      <c r="M215" s="4" t="s">
        <v>30</v>
      </c>
      <c r="N21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16" spans="1:14">
      <c r="A216" s="6">
        <v>10215</v>
      </c>
      <c r="B216" s="5">
        <v>45313</v>
      </c>
      <c r="C216" s="4" t="s">
        <v>48</v>
      </c>
      <c r="D216" s="4" t="s">
        <v>44</v>
      </c>
      <c r="E216" s="4" t="s">
        <v>33</v>
      </c>
      <c r="F216" s="4" t="s">
        <v>34</v>
      </c>
      <c r="G216" s="4">
        <v>2</v>
      </c>
      <c r="H216" s="4">
        <v>38487</v>
      </c>
      <c r="I216" s="4">
        <v>0.05</v>
      </c>
      <c r="J216" s="4">
        <v>76974</v>
      </c>
      <c r="K216" s="4">
        <f t="shared" si="3"/>
        <v>19243.5</v>
      </c>
      <c r="L216" s="4" t="s">
        <v>67</v>
      </c>
      <c r="M216" s="4" t="s">
        <v>30</v>
      </c>
      <c r="N21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17" spans="1:14">
      <c r="A217" s="6">
        <v>10216</v>
      </c>
      <c r="B217" s="5">
        <v>45585</v>
      </c>
      <c r="C217" s="4" t="s">
        <v>31</v>
      </c>
      <c r="D217" s="4" t="s">
        <v>26</v>
      </c>
      <c r="E217" s="4" t="s">
        <v>16</v>
      </c>
      <c r="F217" s="4" t="s">
        <v>49</v>
      </c>
      <c r="G217" s="4">
        <v>5</v>
      </c>
      <c r="H217" s="4">
        <v>44404</v>
      </c>
      <c r="I217" s="4">
        <v>0</v>
      </c>
      <c r="J217" s="4">
        <v>222020</v>
      </c>
      <c r="K217" s="4">
        <f t="shared" si="3"/>
        <v>44404</v>
      </c>
      <c r="L217" s="4" t="s">
        <v>58</v>
      </c>
      <c r="M217" s="4" t="s">
        <v>24</v>
      </c>
      <c r="N21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18" spans="1:14">
      <c r="A218" s="6">
        <v>10217</v>
      </c>
      <c r="B218" s="5">
        <v>45451</v>
      </c>
      <c r="C218" s="4" t="s">
        <v>25</v>
      </c>
      <c r="D218" s="4" t="s">
        <v>15</v>
      </c>
      <c r="E218" s="4" t="s">
        <v>16</v>
      </c>
      <c r="F218" s="4" t="s">
        <v>49</v>
      </c>
      <c r="G218" s="4">
        <v>2</v>
      </c>
      <c r="H218" s="4">
        <v>4631</v>
      </c>
      <c r="I218" s="4">
        <v>0</v>
      </c>
      <c r="J218" s="4">
        <v>9262</v>
      </c>
      <c r="K218" s="4">
        <f t="shared" si="3"/>
        <v>1852.4</v>
      </c>
      <c r="L218" s="4" t="s">
        <v>18</v>
      </c>
      <c r="M218" s="4" t="s">
        <v>19</v>
      </c>
      <c r="N21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19" spans="1:14">
      <c r="A219" s="6">
        <v>10218</v>
      </c>
      <c r="B219" s="5">
        <v>45506</v>
      </c>
      <c r="C219" s="4" t="s">
        <v>31</v>
      </c>
      <c r="D219" s="4" t="s">
        <v>51</v>
      </c>
      <c r="E219" s="4" t="s">
        <v>21</v>
      </c>
      <c r="F219" s="4" t="s">
        <v>52</v>
      </c>
      <c r="G219" s="4">
        <v>5</v>
      </c>
      <c r="H219" s="4">
        <v>42674</v>
      </c>
      <c r="I219" s="4">
        <v>0.02</v>
      </c>
      <c r="J219" s="4">
        <v>213370</v>
      </c>
      <c r="K219" s="4">
        <f t="shared" si="3"/>
        <v>64011</v>
      </c>
      <c r="L219" s="4" t="s">
        <v>61</v>
      </c>
      <c r="M219" s="4" t="s">
        <v>54</v>
      </c>
      <c r="N21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20" spans="1:14">
      <c r="A220" s="6">
        <v>10219</v>
      </c>
      <c r="B220" s="5">
        <v>45586</v>
      </c>
      <c r="C220" s="4" t="s">
        <v>25</v>
      </c>
      <c r="D220" s="4" t="s">
        <v>63</v>
      </c>
      <c r="E220" s="4" t="s">
        <v>16</v>
      </c>
      <c r="F220" s="4" t="s">
        <v>65</v>
      </c>
      <c r="G220" s="4">
        <v>8</v>
      </c>
      <c r="H220" s="4">
        <v>32186</v>
      </c>
      <c r="I220" s="4">
        <v>0</v>
      </c>
      <c r="J220" s="4">
        <v>257488</v>
      </c>
      <c r="K220" s="4">
        <f t="shared" si="3"/>
        <v>51497.600000000006</v>
      </c>
      <c r="L220" s="4" t="s">
        <v>58</v>
      </c>
      <c r="M220" s="4" t="s">
        <v>24</v>
      </c>
      <c r="N22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21" spans="1:14">
      <c r="A221" s="6">
        <v>10220</v>
      </c>
      <c r="B221" s="5">
        <v>45581</v>
      </c>
      <c r="C221" s="4" t="s">
        <v>25</v>
      </c>
      <c r="D221" s="4" t="s">
        <v>63</v>
      </c>
      <c r="E221" s="4" t="s">
        <v>33</v>
      </c>
      <c r="F221" s="4" t="s">
        <v>59</v>
      </c>
      <c r="G221" s="4">
        <v>1</v>
      </c>
      <c r="H221" s="4">
        <v>8788</v>
      </c>
      <c r="I221" s="4">
        <v>0.02</v>
      </c>
      <c r="J221" s="4">
        <v>8788</v>
      </c>
      <c r="K221" s="4">
        <f t="shared" si="3"/>
        <v>2197</v>
      </c>
      <c r="L221" s="4" t="s">
        <v>58</v>
      </c>
      <c r="M221" s="4" t="s">
        <v>24</v>
      </c>
      <c r="N22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22" spans="1:14">
      <c r="A222" s="6">
        <v>10221</v>
      </c>
      <c r="B222" s="5">
        <v>45314</v>
      </c>
      <c r="C222" s="4" t="s">
        <v>31</v>
      </c>
      <c r="D222" s="4" t="s">
        <v>41</v>
      </c>
      <c r="E222" s="4" t="s">
        <v>16</v>
      </c>
      <c r="F222" s="4" t="s">
        <v>49</v>
      </c>
      <c r="G222" s="4">
        <v>8</v>
      </c>
      <c r="H222" s="4">
        <v>45857</v>
      </c>
      <c r="I222" s="4">
        <v>0.02</v>
      </c>
      <c r="J222" s="4">
        <v>366856</v>
      </c>
      <c r="K222" s="4">
        <f t="shared" si="3"/>
        <v>73371.199999999997</v>
      </c>
      <c r="L222" s="4" t="s">
        <v>67</v>
      </c>
      <c r="M222" s="4" t="s">
        <v>30</v>
      </c>
      <c r="N22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23" spans="1:14">
      <c r="A223" s="6">
        <v>10222</v>
      </c>
      <c r="B223" s="5">
        <v>45571</v>
      </c>
      <c r="C223" s="4" t="s">
        <v>43</v>
      </c>
      <c r="D223" s="4" t="s">
        <v>63</v>
      </c>
      <c r="E223" s="4" t="s">
        <v>27</v>
      </c>
      <c r="F223" s="4" t="s">
        <v>64</v>
      </c>
      <c r="G223" s="4">
        <v>3</v>
      </c>
      <c r="H223" s="4">
        <v>29138</v>
      </c>
      <c r="I223" s="4">
        <v>0.01</v>
      </c>
      <c r="J223" s="4">
        <v>87414</v>
      </c>
      <c r="K223" s="4">
        <f t="shared" si="3"/>
        <v>8741.4</v>
      </c>
      <c r="L223" s="4" t="s">
        <v>58</v>
      </c>
      <c r="M223" s="4" t="s">
        <v>24</v>
      </c>
      <c r="N22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24" spans="1:14">
      <c r="A224" s="6">
        <v>10223</v>
      </c>
      <c r="B224" s="5">
        <v>45547</v>
      </c>
      <c r="C224" s="4" t="s">
        <v>31</v>
      </c>
      <c r="D224" s="4" t="s">
        <v>15</v>
      </c>
      <c r="E224" s="4" t="s">
        <v>21</v>
      </c>
      <c r="F224" s="4" t="s">
        <v>52</v>
      </c>
      <c r="G224" s="4">
        <v>8</v>
      </c>
      <c r="H224" s="4">
        <v>36144</v>
      </c>
      <c r="I224" s="4">
        <v>0.01</v>
      </c>
      <c r="J224" s="4">
        <v>289152</v>
      </c>
      <c r="K224" s="4">
        <f t="shared" si="3"/>
        <v>86745.599999999991</v>
      </c>
      <c r="L224" s="4" t="s">
        <v>55</v>
      </c>
      <c r="M224" s="4" t="s">
        <v>54</v>
      </c>
      <c r="N22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25" spans="1:14">
      <c r="A225" s="6">
        <v>10224</v>
      </c>
      <c r="B225" s="5">
        <v>45564</v>
      </c>
      <c r="C225" s="4" t="s">
        <v>31</v>
      </c>
      <c r="D225" s="4" t="s">
        <v>38</v>
      </c>
      <c r="E225" s="4" t="s">
        <v>45</v>
      </c>
      <c r="F225" s="4" t="s">
        <v>60</v>
      </c>
      <c r="G225" s="4">
        <v>9</v>
      </c>
      <c r="H225" s="4">
        <v>13504</v>
      </c>
      <c r="I225" s="4">
        <v>0.01</v>
      </c>
      <c r="J225" s="4">
        <v>121536</v>
      </c>
      <c r="K225" s="4">
        <f t="shared" si="3"/>
        <v>42537.599999999999</v>
      </c>
      <c r="L225" s="4" t="s">
        <v>55</v>
      </c>
      <c r="M225" s="4" t="s">
        <v>54</v>
      </c>
      <c r="N22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26" spans="1:14">
      <c r="A226" s="6">
        <v>10225</v>
      </c>
      <c r="B226" s="5">
        <v>45443</v>
      </c>
      <c r="C226" s="4" t="s">
        <v>35</v>
      </c>
      <c r="D226" s="4" t="s">
        <v>44</v>
      </c>
      <c r="E226" s="4" t="s">
        <v>21</v>
      </c>
      <c r="F226" s="4" t="s">
        <v>52</v>
      </c>
      <c r="G226" s="4">
        <v>8</v>
      </c>
      <c r="H226" s="4">
        <v>18153</v>
      </c>
      <c r="I226" s="4">
        <v>0.01</v>
      </c>
      <c r="J226" s="4">
        <v>145224</v>
      </c>
      <c r="K226" s="4">
        <f t="shared" si="3"/>
        <v>43567.199999999997</v>
      </c>
      <c r="L226" s="4" t="s">
        <v>50</v>
      </c>
      <c r="M226" s="4" t="s">
        <v>19</v>
      </c>
      <c r="N22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27" spans="1:14">
      <c r="A227" s="6">
        <v>10226</v>
      </c>
      <c r="B227" s="5">
        <v>45461</v>
      </c>
      <c r="C227" s="4" t="s">
        <v>43</v>
      </c>
      <c r="D227" s="4" t="s">
        <v>20</v>
      </c>
      <c r="E227" s="4" t="s">
        <v>45</v>
      </c>
      <c r="F227" s="4" t="s">
        <v>60</v>
      </c>
      <c r="G227" s="4">
        <v>1</v>
      </c>
      <c r="H227" s="4">
        <v>24953</v>
      </c>
      <c r="I227" s="4">
        <v>0.02</v>
      </c>
      <c r="J227" s="4">
        <v>24953</v>
      </c>
      <c r="K227" s="4">
        <f t="shared" si="3"/>
        <v>8733.5499999999993</v>
      </c>
      <c r="L227" s="4" t="s">
        <v>18</v>
      </c>
      <c r="M227" s="4" t="s">
        <v>19</v>
      </c>
      <c r="N22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28" spans="1:14">
      <c r="A228" s="6">
        <v>10227</v>
      </c>
      <c r="B228" s="5">
        <v>45391</v>
      </c>
      <c r="C228" s="4" t="s">
        <v>31</v>
      </c>
      <c r="D228" s="4" t="s">
        <v>20</v>
      </c>
      <c r="E228" s="4" t="s">
        <v>27</v>
      </c>
      <c r="F228" s="4" t="s">
        <v>62</v>
      </c>
      <c r="G228" s="4">
        <v>9</v>
      </c>
      <c r="H228" s="4">
        <v>12889</v>
      </c>
      <c r="I228" s="4">
        <v>0.01</v>
      </c>
      <c r="J228" s="4">
        <v>116001</v>
      </c>
      <c r="K228" s="4">
        <f t="shared" si="3"/>
        <v>11600.1</v>
      </c>
      <c r="L228" s="4" t="s">
        <v>37</v>
      </c>
      <c r="M228" s="4" t="s">
        <v>19</v>
      </c>
      <c r="N22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29" spans="1:14">
      <c r="A229" s="6">
        <v>10228</v>
      </c>
      <c r="B229" s="5">
        <v>45351</v>
      </c>
      <c r="C229" s="4" t="s">
        <v>31</v>
      </c>
      <c r="D229" s="4" t="s">
        <v>32</v>
      </c>
      <c r="E229" s="4" t="s">
        <v>45</v>
      </c>
      <c r="F229" s="4" t="s">
        <v>57</v>
      </c>
      <c r="G229" s="4">
        <v>1</v>
      </c>
      <c r="H229" s="4">
        <v>13258</v>
      </c>
      <c r="I229" s="4">
        <v>0.01</v>
      </c>
      <c r="J229" s="4">
        <v>13258</v>
      </c>
      <c r="K229" s="4">
        <f t="shared" si="3"/>
        <v>4640.2999999999993</v>
      </c>
      <c r="L229" s="4" t="s">
        <v>29</v>
      </c>
      <c r="M229" s="4" t="s">
        <v>30</v>
      </c>
      <c r="N22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30" spans="1:14">
      <c r="A230" s="6">
        <v>10229</v>
      </c>
      <c r="B230" s="5">
        <v>45615</v>
      </c>
      <c r="C230" s="4" t="s">
        <v>14</v>
      </c>
      <c r="D230" s="4" t="s">
        <v>41</v>
      </c>
      <c r="E230" s="4" t="s">
        <v>16</v>
      </c>
      <c r="F230" s="4" t="s">
        <v>49</v>
      </c>
      <c r="G230" s="4">
        <v>5</v>
      </c>
      <c r="H230" s="4">
        <v>16997</v>
      </c>
      <c r="I230" s="4">
        <v>0.05</v>
      </c>
      <c r="J230" s="4">
        <v>84985</v>
      </c>
      <c r="K230" s="4">
        <f t="shared" si="3"/>
        <v>16997</v>
      </c>
      <c r="L230" s="4" t="s">
        <v>47</v>
      </c>
      <c r="M230" s="4" t="s">
        <v>24</v>
      </c>
      <c r="N23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31" spans="1:14">
      <c r="A231" s="6">
        <v>10230</v>
      </c>
      <c r="B231" s="5">
        <v>45465</v>
      </c>
      <c r="C231" s="4" t="s">
        <v>48</v>
      </c>
      <c r="D231" s="4" t="s">
        <v>26</v>
      </c>
      <c r="E231" s="4" t="s">
        <v>45</v>
      </c>
      <c r="F231" s="4" t="s">
        <v>46</v>
      </c>
      <c r="G231" s="4">
        <v>9</v>
      </c>
      <c r="H231" s="4">
        <v>44541</v>
      </c>
      <c r="I231" s="4">
        <v>0.05</v>
      </c>
      <c r="J231" s="4">
        <v>400869</v>
      </c>
      <c r="K231" s="4">
        <f t="shared" si="3"/>
        <v>140304.15</v>
      </c>
      <c r="L231" s="4" t="s">
        <v>18</v>
      </c>
      <c r="M231" s="4" t="s">
        <v>19</v>
      </c>
      <c r="N23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32" spans="1:14">
      <c r="A232" s="6">
        <v>10231</v>
      </c>
      <c r="B232" s="5">
        <v>45377</v>
      </c>
      <c r="C232" s="4" t="s">
        <v>35</v>
      </c>
      <c r="D232" s="4" t="s">
        <v>44</v>
      </c>
      <c r="E232" s="4" t="s">
        <v>21</v>
      </c>
      <c r="F232" s="4" t="s">
        <v>22</v>
      </c>
      <c r="G232" s="4">
        <v>2</v>
      </c>
      <c r="H232" s="4">
        <v>45638</v>
      </c>
      <c r="I232" s="4">
        <v>0.02</v>
      </c>
      <c r="J232" s="4">
        <v>91276</v>
      </c>
      <c r="K232" s="4">
        <f t="shared" si="3"/>
        <v>27382.799999999999</v>
      </c>
      <c r="L232" s="4" t="s">
        <v>42</v>
      </c>
      <c r="M232" s="4" t="s">
        <v>30</v>
      </c>
      <c r="N23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33" spans="1:14">
      <c r="A233" s="6">
        <v>10232</v>
      </c>
      <c r="B233" s="5">
        <v>45461</v>
      </c>
      <c r="C233" s="4" t="s">
        <v>48</v>
      </c>
      <c r="D233" s="4" t="s">
        <v>41</v>
      </c>
      <c r="E233" s="4" t="s">
        <v>45</v>
      </c>
      <c r="F233" s="4" t="s">
        <v>57</v>
      </c>
      <c r="G233" s="4">
        <v>1</v>
      </c>
      <c r="H233" s="4">
        <v>9706</v>
      </c>
      <c r="I233" s="4">
        <v>0.02</v>
      </c>
      <c r="J233" s="4">
        <v>9706</v>
      </c>
      <c r="K233" s="4">
        <f t="shared" si="3"/>
        <v>3397.1</v>
      </c>
      <c r="L233" s="4" t="s">
        <v>18</v>
      </c>
      <c r="M233" s="4" t="s">
        <v>19</v>
      </c>
      <c r="N23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34" spans="1:14">
      <c r="A234" s="6">
        <v>10233</v>
      </c>
      <c r="B234" s="5">
        <v>45549</v>
      </c>
      <c r="C234" s="4" t="s">
        <v>31</v>
      </c>
      <c r="D234" s="4" t="s">
        <v>38</v>
      </c>
      <c r="E234" s="4" t="s">
        <v>33</v>
      </c>
      <c r="F234" s="4" t="s">
        <v>34</v>
      </c>
      <c r="G234" s="4">
        <v>5</v>
      </c>
      <c r="H234" s="4">
        <v>30806</v>
      </c>
      <c r="I234" s="4">
        <v>0.05</v>
      </c>
      <c r="J234" s="4">
        <v>154030</v>
      </c>
      <c r="K234" s="4">
        <f t="shared" si="3"/>
        <v>38507.5</v>
      </c>
      <c r="L234" s="4" t="s">
        <v>55</v>
      </c>
      <c r="M234" s="4" t="s">
        <v>54</v>
      </c>
      <c r="N23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35" spans="1:14">
      <c r="A235" s="6">
        <v>10234</v>
      </c>
      <c r="B235" s="5">
        <v>45516</v>
      </c>
      <c r="C235" s="4" t="s">
        <v>43</v>
      </c>
      <c r="D235" s="4" t="s">
        <v>15</v>
      </c>
      <c r="E235" s="4" t="s">
        <v>16</v>
      </c>
      <c r="F235" s="4" t="s">
        <v>49</v>
      </c>
      <c r="G235" s="4">
        <v>4</v>
      </c>
      <c r="H235" s="4">
        <v>49231</v>
      </c>
      <c r="I235" s="4">
        <v>0.02</v>
      </c>
      <c r="J235" s="4">
        <v>196924</v>
      </c>
      <c r="K235" s="4">
        <f t="shared" si="3"/>
        <v>39384.800000000003</v>
      </c>
      <c r="L235" s="4" t="s">
        <v>61</v>
      </c>
      <c r="M235" s="4" t="s">
        <v>54</v>
      </c>
      <c r="N23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36" spans="1:14">
      <c r="A236" s="6">
        <v>10235</v>
      </c>
      <c r="B236" s="5">
        <v>45514</v>
      </c>
      <c r="C236" s="4" t="s">
        <v>35</v>
      </c>
      <c r="D236" s="4" t="s">
        <v>63</v>
      </c>
      <c r="E236" s="4" t="s">
        <v>16</v>
      </c>
      <c r="F236" s="4" t="s">
        <v>17</v>
      </c>
      <c r="G236" s="4">
        <v>2</v>
      </c>
      <c r="H236" s="4">
        <v>32656</v>
      </c>
      <c r="I236" s="4">
        <v>0.05</v>
      </c>
      <c r="J236" s="4">
        <v>65312</v>
      </c>
      <c r="K236" s="4">
        <f t="shared" si="3"/>
        <v>13062.400000000001</v>
      </c>
      <c r="L236" s="4" t="s">
        <v>61</v>
      </c>
      <c r="M236" s="4" t="s">
        <v>54</v>
      </c>
      <c r="N23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37" spans="1:14">
      <c r="A237" s="6">
        <v>10236</v>
      </c>
      <c r="B237" s="5">
        <v>45506</v>
      </c>
      <c r="C237" s="4" t="s">
        <v>14</v>
      </c>
      <c r="D237" s="4" t="s">
        <v>20</v>
      </c>
      <c r="E237" s="4" t="s">
        <v>45</v>
      </c>
      <c r="F237" s="4" t="s">
        <v>60</v>
      </c>
      <c r="G237" s="4">
        <v>6</v>
      </c>
      <c r="H237" s="4">
        <v>36851</v>
      </c>
      <c r="I237" s="4">
        <v>0</v>
      </c>
      <c r="J237" s="4">
        <v>221106</v>
      </c>
      <c r="K237" s="4">
        <f t="shared" si="3"/>
        <v>77387.099999999991</v>
      </c>
      <c r="L237" s="4" t="s">
        <v>61</v>
      </c>
      <c r="M237" s="4" t="s">
        <v>54</v>
      </c>
      <c r="N23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38" spans="1:14">
      <c r="A238" s="6">
        <v>10237</v>
      </c>
      <c r="B238" s="5">
        <v>45651</v>
      </c>
      <c r="C238" s="4" t="s">
        <v>35</v>
      </c>
      <c r="D238" s="4" t="s">
        <v>38</v>
      </c>
      <c r="E238" s="4" t="s">
        <v>16</v>
      </c>
      <c r="F238" s="4" t="s">
        <v>17</v>
      </c>
      <c r="G238" s="4">
        <v>4</v>
      </c>
      <c r="H238" s="4">
        <v>37751</v>
      </c>
      <c r="I238" s="4">
        <v>0.02</v>
      </c>
      <c r="J238" s="4">
        <v>151004</v>
      </c>
      <c r="K238" s="4">
        <f t="shared" si="3"/>
        <v>30200.800000000003</v>
      </c>
      <c r="L238" s="4" t="s">
        <v>23</v>
      </c>
      <c r="M238" s="4" t="s">
        <v>24</v>
      </c>
      <c r="N23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39" spans="1:14">
      <c r="A239" s="6">
        <v>10238</v>
      </c>
      <c r="B239" s="5">
        <v>45509</v>
      </c>
      <c r="C239" s="4" t="s">
        <v>14</v>
      </c>
      <c r="D239" s="4" t="s">
        <v>44</v>
      </c>
      <c r="E239" s="4" t="s">
        <v>27</v>
      </c>
      <c r="F239" s="4" t="s">
        <v>28</v>
      </c>
      <c r="G239" s="4">
        <v>4</v>
      </c>
      <c r="H239" s="4">
        <v>43003</v>
      </c>
      <c r="I239" s="4">
        <v>0.01</v>
      </c>
      <c r="J239" s="4">
        <v>172012</v>
      </c>
      <c r="K239" s="4">
        <f t="shared" si="3"/>
        <v>17201.2</v>
      </c>
      <c r="L239" s="4" t="s">
        <v>61</v>
      </c>
      <c r="M239" s="4" t="s">
        <v>54</v>
      </c>
      <c r="N23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40" spans="1:14">
      <c r="A240" s="6">
        <v>10239</v>
      </c>
      <c r="B240" s="5">
        <v>45585</v>
      </c>
      <c r="C240" s="4" t="s">
        <v>48</v>
      </c>
      <c r="D240" s="4" t="s">
        <v>41</v>
      </c>
      <c r="E240" s="4" t="s">
        <v>21</v>
      </c>
      <c r="F240" s="4" t="s">
        <v>22</v>
      </c>
      <c r="G240" s="4">
        <v>6</v>
      </c>
      <c r="H240" s="4">
        <v>3023</v>
      </c>
      <c r="I240" s="4">
        <v>0.02</v>
      </c>
      <c r="J240" s="4">
        <v>18138</v>
      </c>
      <c r="K240" s="4">
        <f t="shared" si="3"/>
        <v>5441.4</v>
      </c>
      <c r="L240" s="4" t="s">
        <v>58</v>
      </c>
      <c r="M240" s="4" t="s">
        <v>24</v>
      </c>
      <c r="N24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41" spans="1:14">
      <c r="A241" s="6">
        <v>10240</v>
      </c>
      <c r="B241" s="5">
        <v>45392</v>
      </c>
      <c r="C241" s="4" t="s">
        <v>35</v>
      </c>
      <c r="D241" s="4" t="s">
        <v>44</v>
      </c>
      <c r="E241" s="4" t="s">
        <v>45</v>
      </c>
      <c r="F241" s="4" t="s">
        <v>57</v>
      </c>
      <c r="G241" s="4">
        <v>1</v>
      </c>
      <c r="H241" s="4">
        <v>28766</v>
      </c>
      <c r="I241" s="4">
        <v>0.02</v>
      </c>
      <c r="J241" s="4">
        <v>28766</v>
      </c>
      <c r="K241" s="4">
        <f t="shared" si="3"/>
        <v>10068.099999999999</v>
      </c>
      <c r="L241" s="4" t="s">
        <v>37</v>
      </c>
      <c r="M241" s="4" t="s">
        <v>19</v>
      </c>
      <c r="N24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42" spans="1:14">
      <c r="A242" s="6">
        <v>10241</v>
      </c>
      <c r="B242" s="5">
        <v>45538</v>
      </c>
      <c r="C242" s="4" t="s">
        <v>14</v>
      </c>
      <c r="D242" s="4" t="s">
        <v>63</v>
      </c>
      <c r="E242" s="4" t="s">
        <v>27</v>
      </c>
      <c r="F242" s="4" t="s">
        <v>28</v>
      </c>
      <c r="G242" s="4">
        <v>4</v>
      </c>
      <c r="H242" s="4">
        <v>28523</v>
      </c>
      <c r="I242" s="4">
        <v>0.05</v>
      </c>
      <c r="J242" s="4">
        <v>114092</v>
      </c>
      <c r="K242" s="4">
        <f t="shared" si="3"/>
        <v>11409.2</v>
      </c>
      <c r="L242" s="4" t="s">
        <v>55</v>
      </c>
      <c r="M242" s="4" t="s">
        <v>54</v>
      </c>
      <c r="N24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43" spans="1:14">
      <c r="A243" s="6">
        <v>10242</v>
      </c>
      <c r="B243" s="5">
        <v>45366</v>
      </c>
      <c r="C243" s="4" t="s">
        <v>14</v>
      </c>
      <c r="D243" s="4" t="s">
        <v>32</v>
      </c>
      <c r="E243" s="4" t="s">
        <v>21</v>
      </c>
      <c r="F243" s="4" t="s">
        <v>52</v>
      </c>
      <c r="G243" s="4">
        <v>3</v>
      </c>
      <c r="H243" s="4">
        <v>45848</v>
      </c>
      <c r="I243" s="4">
        <v>0.02</v>
      </c>
      <c r="J243" s="4">
        <v>137544</v>
      </c>
      <c r="K243" s="4">
        <f t="shared" si="3"/>
        <v>41263.199999999997</v>
      </c>
      <c r="L243" s="4" t="s">
        <v>42</v>
      </c>
      <c r="M243" s="4" t="s">
        <v>30</v>
      </c>
      <c r="N24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44" spans="1:14">
      <c r="A244" s="6">
        <v>10243</v>
      </c>
      <c r="B244" s="5">
        <v>45634</v>
      </c>
      <c r="C244" s="4" t="s">
        <v>14</v>
      </c>
      <c r="D244" s="4" t="s">
        <v>26</v>
      </c>
      <c r="E244" s="4" t="s">
        <v>33</v>
      </c>
      <c r="F244" s="4" t="s">
        <v>34</v>
      </c>
      <c r="G244" s="4">
        <v>5</v>
      </c>
      <c r="H244" s="4">
        <v>44934</v>
      </c>
      <c r="I244" s="4">
        <v>0.05</v>
      </c>
      <c r="J244" s="4">
        <v>224670</v>
      </c>
      <c r="K244" s="4">
        <f t="shared" si="3"/>
        <v>56167.5</v>
      </c>
      <c r="L244" s="4" t="s">
        <v>23</v>
      </c>
      <c r="M244" s="4" t="s">
        <v>24</v>
      </c>
      <c r="N24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45" spans="1:14">
      <c r="A245" s="6">
        <v>10244</v>
      </c>
      <c r="B245" s="5">
        <v>45549</v>
      </c>
      <c r="C245" s="4" t="s">
        <v>25</v>
      </c>
      <c r="D245" s="4" t="s">
        <v>63</v>
      </c>
      <c r="E245" s="4" t="s">
        <v>33</v>
      </c>
      <c r="F245" s="4" t="s">
        <v>34</v>
      </c>
      <c r="G245" s="4">
        <v>1</v>
      </c>
      <c r="H245" s="4">
        <v>34937</v>
      </c>
      <c r="I245" s="4">
        <v>0.02</v>
      </c>
      <c r="J245" s="4">
        <v>34937</v>
      </c>
      <c r="K245" s="4">
        <f t="shared" si="3"/>
        <v>8734.25</v>
      </c>
      <c r="L245" s="4" t="s">
        <v>55</v>
      </c>
      <c r="M245" s="4" t="s">
        <v>54</v>
      </c>
      <c r="N24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46" spans="1:14">
      <c r="A246" s="6">
        <v>10245</v>
      </c>
      <c r="B246" s="5">
        <v>45619</v>
      </c>
      <c r="C246" s="4" t="s">
        <v>43</v>
      </c>
      <c r="D246" s="4" t="s">
        <v>38</v>
      </c>
      <c r="E246" s="4" t="s">
        <v>27</v>
      </c>
      <c r="F246" s="4" t="s">
        <v>64</v>
      </c>
      <c r="G246" s="4">
        <v>6</v>
      </c>
      <c r="H246" s="4">
        <v>11028</v>
      </c>
      <c r="I246" s="4">
        <v>0</v>
      </c>
      <c r="J246" s="4">
        <v>66168</v>
      </c>
      <c r="K246" s="4">
        <f t="shared" si="3"/>
        <v>6616.8</v>
      </c>
      <c r="L246" s="4" t="s">
        <v>47</v>
      </c>
      <c r="M246" s="4" t="s">
        <v>24</v>
      </c>
      <c r="N24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47" spans="1:14">
      <c r="A247" s="6">
        <v>10246</v>
      </c>
      <c r="B247" s="5">
        <v>45343</v>
      </c>
      <c r="C247" s="4" t="s">
        <v>43</v>
      </c>
      <c r="D247" s="4" t="s">
        <v>26</v>
      </c>
      <c r="E247" s="4" t="s">
        <v>45</v>
      </c>
      <c r="F247" s="4" t="s">
        <v>46</v>
      </c>
      <c r="G247" s="4">
        <v>7</v>
      </c>
      <c r="H247" s="4">
        <v>15472</v>
      </c>
      <c r="I247" s="4">
        <v>0.01</v>
      </c>
      <c r="J247" s="4">
        <v>108304</v>
      </c>
      <c r="K247" s="4">
        <f t="shared" si="3"/>
        <v>37906.399999999994</v>
      </c>
      <c r="L247" s="4" t="s">
        <v>29</v>
      </c>
      <c r="M247" s="4" t="s">
        <v>30</v>
      </c>
      <c r="N24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48" spans="1:14">
      <c r="A248" s="6">
        <v>10247</v>
      </c>
      <c r="B248" s="5">
        <v>45443</v>
      </c>
      <c r="C248" s="4" t="s">
        <v>14</v>
      </c>
      <c r="D248" s="4" t="s">
        <v>36</v>
      </c>
      <c r="E248" s="4" t="s">
        <v>45</v>
      </c>
      <c r="F248" s="4" t="s">
        <v>57</v>
      </c>
      <c r="G248" s="4">
        <v>3</v>
      </c>
      <c r="H248" s="4">
        <v>47698</v>
      </c>
      <c r="I248" s="4">
        <v>0</v>
      </c>
      <c r="J248" s="4">
        <v>143094</v>
      </c>
      <c r="K248" s="4">
        <f t="shared" si="3"/>
        <v>50082.899999999994</v>
      </c>
      <c r="L248" s="4" t="s">
        <v>50</v>
      </c>
      <c r="M248" s="4" t="s">
        <v>19</v>
      </c>
      <c r="N24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49" spans="1:14">
      <c r="A249" s="6">
        <v>10248</v>
      </c>
      <c r="B249" s="5">
        <v>45558</v>
      </c>
      <c r="C249" s="4" t="s">
        <v>25</v>
      </c>
      <c r="D249" s="4" t="s">
        <v>32</v>
      </c>
      <c r="E249" s="4" t="s">
        <v>33</v>
      </c>
      <c r="F249" s="4" t="s">
        <v>34</v>
      </c>
      <c r="G249" s="4">
        <v>5</v>
      </c>
      <c r="H249" s="4">
        <v>18833</v>
      </c>
      <c r="I249" s="4">
        <v>0.02</v>
      </c>
      <c r="J249" s="4">
        <v>94165</v>
      </c>
      <c r="K249" s="4">
        <f t="shared" si="3"/>
        <v>23541.25</v>
      </c>
      <c r="L249" s="4" t="s">
        <v>55</v>
      </c>
      <c r="M249" s="4" t="s">
        <v>54</v>
      </c>
      <c r="N24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50" spans="1:14">
      <c r="A250" s="6">
        <v>10249</v>
      </c>
      <c r="B250" s="5">
        <v>45316</v>
      </c>
      <c r="C250" s="4" t="s">
        <v>31</v>
      </c>
      <c r="D250" s="4" t="s">
        <v>15</v>
      </c>
      <c r="E250" s="4" t="s">
        <v>33</v>
      </c>
      <c r="F250" s="4" t="s">
        <v>59</v>
      </c>
      <c r="G250" s="4">
        <v>5</v>
      </c>
      <c r="H250" s="4">
        <v>49201</v>
      </c>
      <c r="I250" s="4">
        <v>0.05</v>
      </c>
      <c r="J250" s="4">
        <v>246005</v>
      </c>
      <c r="K250" s="4">
        <f t="shared" si="3"/>
        <v>61501.25</v>
      </c>
      <c r="L250" s="4" t="s">
        <v>67</v>
      </c>
      <c r="M250" s="4" t="s">
        <v>30</v>
      </c>
      <c r="N25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51" spans="1:14">
      <c r="A251" s="6">
        <v>10250</v>
      </c>
      <c r="B251" s="5">
        <v>45345</v>
      </c>
      <c r="C251" s="4" t="s">
        <v>14</v>
      </c>
      <c r="D251" s="4" t="s">
        <v>32</v>
      </c>
      <c r="E251" s="4" t="s">
        <v>21</v>
      </c>
      <c r="F251" s="4" t="s">
        <v>52</v>
      </c>
      <c r="G251" s="4">
        <v>1</v>
      </c>
      <c r="H251" s="4">
        <v>3839</v>
      </c>
      <c r="I251" s="4">
        <v>0</v>
      </c>
      <c r="J251" s="4">
        <v>3839</v>
      </c>
      <c r="K251" s="4">
        <f t="shared" si="3"/>
        <v>1151.7</v>
      </c>
      <c r="L251" s="4" t="s">
        <v>29</v>
      </c>
      <c r="M251" s="4" t="s">
        <v>30</v>
      </c>
      <c r="N25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52" spans="1:14">
      <c r="A252" s="6">
        <v>10251</v>
      </c>
      <c r="B252" s="5">
        <v>45489</v>
      </c>
      <c r="C252" s="4" t="s">
        <v>31</v>
      </c>
      <c r="D252" s="4" t="s">
        <v>51</v>
      </c>
      <c r="E252" s="4" t="s">
        <v>45</v>
      </c>
      <c r="F252" s="4" t="s">
        <v>57</v>
      </c>
      <c r="G252" s="4">
        <v>9</v>
      </c>
      <c r="H252" s="4">
        <v>46603</v>
      </c>
      <c r="I252" s="4">
        <v>0</v>
      </c>
      <c r="J252" s="4">
        <v>419427</v>
      </c>
      <c r="K252" s="4">
        <f t="shared" si="3"/>
        <v>146799.44999999998</v>
      </c>
      <c r="L252" s="4" t="s">
        <v>53</v>
      </c>
      <c r="M252" s="4" t="s">
        <v>54</v>
      </c>
      <c r="N25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53" spans="1:14">
      <c r="A253" s="6">
        <v>10252</v>
      </c>
      <c r="B253" s="5">
        <v>45617</v>
      </c>
      <c r="C253" s="4" t="s">
        <v>48</v>
      </c>
      <c r="D253" s="4" t="s">
        <v>26</v>
      </c>
      <c r="E253" s="4" t="s">
        <v>45</v>
      </c>
      <c r="F253" s="4" t="s">
        <v>60</v>
      </c>
      <c r="G253" s="4">
        <v>7</v>
      </c>
      <c r="H253" s="4">
        <v>1162</v>
      </c>
      <c r="I253" s="4">
        <v>0.02</v>
      </c>
      <c r="J253" s="4">
        <v>8134</v>
      </c>
      <c r="K253" s="4">
        <f t="shared" si="3"/>
        <v>2846.8999999999996</v>
      </c>
      <c r="L253" s="4" t="s">
        <v>47</v>
      </c>
      <c r="M253" s="4" t="s">
        <v>24</v>
      </c>
      <c r="N25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54" spans="1:14">
      <c r="A254" s="6">
        <v>10253</v>
      </c>
      <c r="B254" s="5">
        <v>45300</v>
      </c>
      <c r="C254" s="4" t="s">
        <v>14</v>
      </c>
      <c r="D254" s="4" t="s">
        <v>38</v>
      </c>
      <c r="E254" s="4" t="s">
        <v>21</v>
      </c>
      <c r="F254" s="4" t="s">
        <v>52</v>
      </c>
      <c r="G254" s="4">
        <v>6</v>
      </c>
      <c r="H254" s="4">
        <v>42800</v>
      </c>
      <c r="I254" s="4">
        <v>0</v>
      </c>
      <c r="J254" s="4">
        <v>256800</v>
      </c>
      <c r="K254" s="4">
        <f t="shared" si="3"/>
        <v>77040</v>
      </c>
      <c r="L254" s="4" t="s">
        <v>67</v>
      </c>
      <c r="M254" s="4" t="s">
        <v>30</v>
      </c>
      <c r="N25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55" spans="1:14">
      <c r="A255" s="6">
        <v>10254</v>
      </c>
      <c r="B255" s="5">
        <v>45512</v>
      </c>
      <c r="C255" s="4" t="s">
        <v>43</v>
      </c>
      <c r="D255" s="4" t="s">
        <v>38</v>
      </c>
      <c r="E255" s="4" t="s">
        <v>21</v>
      </c>
      <c r="F255" s="4" t="s">
        <v>52</v>
      </c>
      <c r="G255" s="4">
        <v>5</v>
      </c>
      <c r="H255" s="4">
        <v>48299</v>
      </c>
      <c r="I255" s="4">
        <v>0.01</v>
      </c>
      <c r="J255" s="4">
        <v>241495</v>
      </c>
      <c r="K255" s="4">
        <f t="shared" si="3"/>
        <v>72448.5</v>
      </c>
      <c r="L255" s="4" t="s">
        <v>61</v>
      </c>
      <c r="M255" s="4" t="s">
        <v>54</v>
      </c>
      <c r="N25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56" spans="1:14">
      <c r="A256" s="6">
        <v>10255</v>
      </c>
      <c r="B256" s="5">
        <v>45303</v>
      </c>
      <c r="C256" s="4" t="s">
        <v>31</v>
      </c>
      <c r="D256" s="4" t="s">
        <v>51</v>
      </c>
      <c r="E256" s="4" t="s">
        <v>21</v>
      </c>
      <c r="F256" s="4" t="s">
        <v>56</v>
      </c>
      <c r="G256" s="4">
        <v>7</v>
      </c>
      <c r="H256" s="4">
        <v>12929</v>
      </c>
      <c r="I256" s="4">
        <v>0.05</v>
      </c>
      <c r="J256" s="4">
        <v>90503</v>
      </c>
      <c r="K256" s="4">
        <f t="shared" si="3"/>
        <v>27150.899999999998</v>
      </c>
      <c r="L256" s="4" t="s">
        <v>67</v>
      </c>
      <c r="M256" s="4" t="s">
        <v>30</v>
      </c>
      <c r="N25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57" spans="1:14">
      <c r="A257" s="6">
        <v>10256</v>
      </c>
      <c r="B257" s="5">
        <v>45532</v>
      </c>
      <c r="C257" s="4" t="s">
        <v>14</v>
      </c>
      <c r="D257" s="4" t="s">
        <v>41</v>
      </c>
      <c r="E257" s="4" t="s">
        <v>16</v>
      </c>
      <c r="F257" s="4" t="s">
        <v>49</v>
      </c>
      <c r="G257" s="4">
        <v>2</v>
      </c>
      <c r="H257" s="4">
        <v>29228</v>
      </c>
      <c r="I257" s="4">
        <v>0.02</v>
      </c>
      <c r="J257" s="4">
        <v>58456</v>
      </c>
      <c r="K257" s="4">
        <f t="shared" si="3"/>
        <v>11691.2</v>
      </c>
      <c r="L257" s="4" t="s">
        <v>61</v>
      </c>
      <c r="M257" s="4" t="s">
        <v>54</v>
      </c>
      <c r="N25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58" spans="1:14">
      <c r="A258" s="6">
        <v>10257</v>
      </c>
      <c r="B258" s="5">
        <v>45419</v>
      </c>
      <c r="C258" s="4" t="s">
        <v>25</v>
      </c>
      <c r="D258" s="4" t="s">
        <v>41</v>
      </c>
      <c r="E258" s="4" t="s">
        <v>27</v>
      </c>
      <c r="F258" s="4" t="s">
        <v>64</v>
      </c>
      <c r="G258" s="4">
        <v>9</v>
      </c>
      <c r="H258" s="4">
        <v>7588</v>
      </c>
      <c r="I258" s="4">
        <v>0</v>
      </c>
      <c r="J258" s="4">
        <v>68292</v>
      </c>
      <c r="K258" s="4">
        <f t="shared" ref="K258:K321" si="4">J258*N258</f>
        <v>6829.2000000000007</v>
      </c>
      <c r="L258" s="4" t="s">
        <v>50</v>
      </c>
      <c r="M258" s="4" t="s">
        <v>19</v>
      </c>
      <c r="N25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59" spans="1:14">
      <c r="A259" s="6">
        <v>10258</v>
      </c>
      <c r="B259" s="5">
        <v>45407</v>
      </c>
      <c r="C259" s="4" t="s">
        <v>14</v>
      </c>
      <c r="D259" s="4" t="s">
        <v>38</v>
      </c>
      <c r="E259" s="4" t="s">
        <v>33</v>
      </c>
      <c r="F259" s="4" t="s">
        <v>66</v>
      </c>
      <c r="G259" s="4">
        <v>7</v>
      </c>
      <c r="H259" s="4">
        <v>34365</v>
      </c>
      <c r="I259" s="4">
        <v>0.02</v>
      </c>
      <c r="J259" s="4">
        <v>240555</v>
      </c>
      <c r="K259" s="4">
        <f t="shared" si="4"/>
        <v>60138.75</v>
      </c>
      <c r="L259" s="4" t="s">
        <v>37</v>
      </c>
      <c r="M259" s="4" t="s">
        <v>19</v>
      </c>
      <c r="N25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60" spans="1:14">
      <c r="A260" s="6">
        <v>10259</v>
      </c>
      <c r="B260" s="5">
        <v>45424</v>
      </c>
      <c r="C260" s="4" t="s">
        <v>14</v>
      </c>
      <c r="D260" s="4" t="s">
        <v>20</v>
      </c>
      <c r="E260" s="4" t="s">
        <v>33</v>
      </c>
      <c r="F260" s="4" t="s">
        <v>59</v>
      </c>
      <c r="G260" s="4">
        <v>9</v>
      </c>
      <c r="H260" s="4">
        <v>45629</v>
      </c>
      <c r="I260" s="4">
        <v>0</v>
      </c>
      <c r="J260" s="4">
        <v>410661</v>
      </c>
      <c r="K260" s="4">
        <f t="shared" si="4"/>
        <v>102665.25</v>
      </c>
      <c r="L260" s="4" t="s">
        <v>50</v>
      </c>
      <c r="M260" s="4" t="s">
        <v>19</v>
      </c>
      <c r="N26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61" spans="1:14">
      <c r="A261" s="6">
        <v>10260</v>
      </c>
      <c r="B261" s="5">
        <v>45387</v>
      </c>
      <c r="C261" s="4" t="s">
        <v>14</v>
      </c>
      <c r="D261" s="4" t="s">
        <v>41</v>
      </c>
      <c r="E261" s="4" t="s">
        <v>21</v>
      </c>
      <c r="F261" s="4" t="s">
        <v>22</v>
      </c>
      <c r="G261" s="4">
        <v>5</v>
      </c>
      <c r="H261" s="4">
        <v>18921</v>
      </c>
      <c r="I261" s="4">
        <v>0.01</v>
      </c>
      <c r="J261" s="4">
        <v>94605</v>
      </c>
      <c r="K261" s="4">
        <f t="shared" si="4"/>
        <v>28381.5</v>
      </c>
      <c r="L261" s="4" t="s">
        <v>37</v>
      </c>
      <c r="M261" s="4" t="s">
        <v>19</v>
      </c>
      <c r="N26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62" spans="1:14">
      <c r="A262" s="6">
        <v>10261</v>
      </c>
      <c r="B262" s="5">
        <v>45383</v>
      </c>
      <c r="C262" s="4" t="s">
        <v>14</v>
      </c>
      <c r="D262" s="4" t="s">
        <v>32</v>
      </c>
      <c r="E262" s="4" t="s">
        <v>21</v>
      </c>
      <c r="F262" s="4" t="s">
        <v>52</v>
      </c>
      <c r="G262" s="4">
        <v>7</v>
      </c>
      <c r="H262" s="4">
        <v>28733</v>
      </c>
      <c r="I262" s="4">
        <v>0.05</v>
      </c>
      <c r="J262" s="4">
        <v>201131</v>
      </c>
      <c r="K262" s="4">
        <f t="shared" si="4"/>
        <v>60339.299999999996</v>
      </c>
      <c r="L262" s="4" t="s">
        <v>37</v>
      </c>
      <c r="M262" s="4" t="s">
        <v>19</v>
      </c>
      <c r="N26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63" spans="1:14">
      <c r="A263" s="6">
        <v>10262</v>
      </c>
      <c r="B263" s="5">
        <v>45601</v>
      </c>
      <c r="C263" s="4" t="s">
        <v>14</v>
      </c>
      <c r="D263" s="4" t="s">
        <v>32</v>
      </c>
      <c r="E263" s="4" t="s">
        <v>45</v>
      </c>
      <c r="F263" s="4" t="s">
        <v>46</v>
      </c>
      <c r="G263" s="4">
        <v>3</v>
      </c>
      <c r="H263" s="4">
        <v>35622</v>
      </c>
      <c r="I263" s="4">
        <v>0</v>
      </c>
      <c r="J263" s="4">
        <v>106866</v>
      </c>
      <c r="K263" s="4">
        <f t="shared" si="4"/>
        <v>37403.1</v>
      </c>
      <c r="L263" s="4" t="s">
        <v>47</v>
      </c>
      <c r="M263" s="4" t="s">
        <v>24</v>
      </c>
      <c r="N26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64" spans="1:14">
      <c r="A264" s="6">
        <v>10263</v>
      </c>
      <c r="B264" s="5">
        <v>45461</v>
      </c>
      <c r="C264" s="4" t="s">
        <v>31</v>
      </c>
      <c r="D264" s="4" t="s">
        <v>44</v>
      </c>
      <c r="E264" s="4" t="s">
        <v>33</v>
      </c>
      <c r="F264" s="4" t="s">
        <v>34</v>
      </c>
      <c r="G264" s="4">
        <v>6</v>
      </c>
      <c r="H264" s="4">
        <v>6774</v>
      </c>
      <c r="I264" s="4">
        <v>0.05</v>
      </c>
      <c r="J264" s="4">
        <v>40644</v>
      </c>
      <c r="K264" s="4">
        <f t="shared" si="4"/>
        <v>10161</v>
      </c>
      <c r="L264" s="4" t="s">
        <v>18</v>
      </c>
      <c r="M264" s="4" t="s">
        <v>19</v>
      </c>
      <c r="N26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65" spans="1:14">
      <c r="A265" s="6">
        <v>10264</v>
      </c>
      <c r="B265" s="5">
        <v>45516</v>
      </c>
      <c r="C265" s="4" t="s">
        <v>43</v>
      </c>
      <c r="D265" s="4" t="s">
        <v>38</v>
      </c>
      <c r="E265" s="4" t="s">
        <v>45</v>
      </c>
      <c r="F265" s="4" t="s">
        <v>60</v>
      </c>
      <c r="G265" s="4">
        <v>8</v>
      </c>
      <c r="H265" s="4">
        <v>19489</v>
      </c>
      <c r="I265" s="4">
        <v>0.05</v>
      </c>
      <c r="J265" s="4">
        <v>155912</v>
      </c>
      <c r="K265" s="4">
        <f t="shared" si="4"/>
        <v>54569.2</v>
      </c>
      <c r="L265" s="4" t="s">
        <v>61</v>
      </c>
      <c r="M265" s="4" t="s">
        <v>54</v>
      </c>
      <c r="N26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66" spans="1:14">
      <c r="A266" s="6">
        <v>10265</v>
      </c>
      <c r="B266" s="5">
        <v>45292</v>
      </c>
      <c r="C266" s="4" t="s">
        <v>48</v>
      </c>
      <c r="D266" s="4" t="s">
        <v>32</v>
      </c>
      <c r="E266" s="4" t="s">
        <v>21</v>
      </c>
      <c r="F266" s="4" t="s">
        <v>22</v>
      </c>
      <c r="G266" s="4">
        <v>8</v>
      </c>
      <c r="H266" s="4">
        <v>26643</v>
      </c>
      <c r="I266" s="4">
        <v>0</v>
      </c>
      <c r="J266" s="4">
        <v>213144</v>
      </c>
      <c r="K266" s="4">
        <f t="shared" si="4"/>
        <v>63943.199999999997</v>
      </c>
      <c r="L266" s="4" t="s">
        <v>67</v>
      </c>
      <c r="M266" s="4" t="s">
        <v>30</v>
      </c>
      <c r="N26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67" spans="1:14">
      <c r="A267" s="6">
        <v>10266</v>
      </c>
      <c r="B267" s="5">
        <v>45585</v>
      </c>
      <c r="C267" s="4" t="s">
        <v>25</v>
      </c>
      <c r="D267" s="4" t="s">
        <v>36</v>
      </c>
      <c r="E267" s="4" t="s">
        <v>45</v>
      </c>
      <c r="F267" s="4" t="s">
        <v>46</v>
      </c>
      <c r="G267" s="4">
        <v>3</v>
      </c>
      <c r="H267" s="4">
        <v>7852</v>
      </c>
      <c r="I267" s="4">
        <v>0.02</v>
      </c>
      <c r="J267" s="4">
        <v>23556</v>
      </c>
      <c r="K267" s="4">
        <f t="shared" si="4"/>
        <v>8244.6</v>
      </c>
      <c r="L267" s="4" t="s">
        <v>58</v>
      </c>
      <c r="M267" s="4" t="s">
        <v>24</v>
      </c>
      <c r="N26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68" spans="1:14">
      <c r="A268" s="6">
        <v>10267</v>
      </c>
      <c r="B268" s="5">
        <v>45631</v>
      </c>
      <c r="C268" s="4" t="s">
        <v>31</v>
      </c>
      <c r="D268" s="4" t="s">
        <v>38</v>
      </c>
      <c r="E268" s="4" t="s">
        <v>45</v>
      </c>
      <c r="F268" s="4" t="s">
        <v>60</v>
      </c>
      <c r="G268" s="4">
        <v>4</v>
      </c>
      <c r="H268" s="4">
        <v>8239</v>
      </c>
      <c r="I268" s="4">
        <v>0.02</v>
      </c>
      <c r="J268" s="4">
        <v>32956</v>
      </c>
      <c r="K268" s="4">
        <f t="shared" si="4"/>
        <v>11534.599999999999</v>
      </c>
      <c r="L268" s="4" t="s">
        <v>23</v>
      </c>
      <c r="M268" s="4" t="s">
        <v>24</v>
      </c>
      <c r="N26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69" spans="1:14">
      <c r="A269" s="6">
        <v>10268</v>
      </c>
      <c r="B269" s="5">
        <v>45652</v>
      </c>
      <c r="C269" s="4" t="s">
        <v>31</v>
      </c>
      <c r="D269" s="4" t="s">
        <v>44</v>
      </c>
      <c r="E269" s="4" t="s">
        <v>21</v>
      </c>
      <c r="F269" s="4" t="s">
        <v>52</v>
      </c>
      <c r="G269" s="4">
        <v>6</v>
      </c>
      <c r="H269" s="4">
        <v>12531</v>
      </c>
      <c r="I269" s="4">
        <v>0.01</v>
      </c>
      <c r="J269" s="4">
        <v>75186</v>
      </c>
      <c r="K269" s="4">
        <f t="shared" si="4"/>
        <v>22555.8</v>
      </c>
      <c r="L269" s="4" t="s">
        <v>23</v>
      </c>
      <c r="M269" s="4" t="s">
        <v>24</v>
      </c>
      <c r="N26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70" spans="1:14">
      <c r="A270" s="6">
        <v>10269</v>
      </c>
      <c r="B270" s="5">
        <v>45433</v>
      </c>
      <c r="C270" s="4" t="s">
        <v>43</v>
      </c>
      <c r="D270" s="4" t="s">
        <v>36</v>
      </c>
      <c r="E270" s="4" t="s">
        <v>33</v>
      </c>
      <c r="F270" s="4" t="s">
        <v>66</v>
      </c>
      <c r="G270" s="4">
        <v>8</v>
      </c>
      <c r="H270" s="4">
        <v>7629</v>
      </c>
      <c r="I270" s="4">
        <v>0</v>
      </c>
      <c r="J270" s="4">
        <v>61032</v>
      </c>
      <c r="K270" s="4">
        <f t="shared" si="4"/>
        <v>15258</v>
      </c>
      <c r="L270" s="4" t="s">
        <v>50</v>
      </c>
      <c r="M270" s="4" t="s">
        <v>19</v>
      </c>
      <c r="N27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71" spans="1:14">
      <c r="A271" s="6">
        <v>10270</v>
      </c>
      <c r="B271" s="5">
        <v>45296</v>
      </c>
      <c r="C271" s="4" t="s">
        <v>35</v>
      </c>
      <c r="D271" s="4" t="s">
        <v>44</v>
      </c>
      <c r="E271" s="4" t="s">
        <v>33</v>
      </c>
      <c r="F271" s="4" t="s">
        <v>66</v>
      </c>
      <c r="G271" s="4">
        <v>6</v>
      </c>
      <c r="H271" s="4">
        <v>6906</v>
      </c>
      <c r="I271" s="4">
        <v>0.05</v>
      </c>
      <c r="J271" s="4">
        <v>41436</v>
      </c>
      <c r="K271" s="4">
        <f t="shared" si="4"/>
        <v>10359</v>
      </c>
      <c r="L271" s="4" t="s">
        <v>67</v>
      </c>
      <c r="M271" s="4" t="s">
        <v>30</v>
      </c>
      <c r="N27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72" spans="1:14">
      <c r="A272" s="6">
        <v>10271</v>
      </c>
      <c r="B272" s="5">
        <v>45326</v>
      </c>
      <c r="C272" s="4" t="s">
        <v>25</v>
      </c>
      <c r="D272" s="4" t="s">
        <v>63</v>
      </c>
      <c r="E272" s="4" t="s">
        <v>27</v>
      </c>
      <c r="F272" s="4" t="s">
        <v>62</v>
      </c>
      <c r="G272" s="4">
        <v>5</v>
      </c>
      <c r="H272" s="4">
        <v>2283</v>
      </c>
      <c r="I272" s="4">
        <v>0.05</v>
      </c>
      <c r="J272" s="4">
        <v>11415</v>
      </c>
      <c r="K272" s="4">
        <f t="shared" si="4"/>
        <v>1141.5</v>
      </c>
      <c r="L272" s="4" t="s">
        <v>29</v>
      </c>
      <c r="M272" s="4" t="s">
        <v>30</v>
      </c>
      <c r="N27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73" spans="1:14">
      <c r="A273" s="6">
        <v>10272</v>
      </c>
      <c r="B273" s="5">
        <v>45469</v>
      </c>
      <c r="C273" s="4" t="s">
        <v>43</v>
      </c>
      <c r="D273" s="4" t="s">
        <v>41</v>
      </c>
      <c r="E273" s="4" t="s">
        <v>27</v>
      </c>
      <c r="F273" s="4" t="s">
        <v>64</v>
      </c>
      <c r="G273" s="4">
        <v>9</v>
      </c>
      <c r="H273" s="4">
        <v>44360</v>
      </c>
      <c r="I273" s="4">
        <v>0.05</v>
      </c>
      <c r="J273" s="4">
        <v>399240</v>
      </c>
      <c r="K273" s="4">
        <f t="shared" si="4"/>
        <v>39924</v>
      </c>
      <c r="L273" s="4" t="s">
        <v>18</v>
      </c>
      <c r="M273" s="4" t="s">
        <v>19</v>
      </c>
      <c r="N27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74" spans="1:14">
      <c r="A274" s="6">
        <v>10273</v>
      </c>
      <c r="B274" s="5">
        <v>45327</v>
      </c>
      <c r="C274" s="4" t="s">
        <v>35</v>
      </c>
      <c r="D274" s="4" t="s">
        <v>38</v>
      </c>
      <c r="E274" s="4" t="s">
        <v>33</v>
      </c>
      <c r="F274" s="4" t="s">
        <v>66</v>
      </c>
      <c r="G274" s="4">
        <v>4</v>
      </c>
      <c r="H274" s="4">
        <v>45517</v>
      </c>
      <c r="I274" s="4">
        <v>0.01</v>
      </c>
      <c r="J274" s="4">
        <v>182068</v>
      </c>
      <c r="K274" s="4">
        <f t="shared" si="4"/>
        <v>45517</v>
      </c>
      <c r="L274" s="4" t="s">
        <v>29</v>
      </c>
      <c r="M274" s="4" t="s">
        <v>30</v>
      </c>
      <c r="N27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75" spans="1:14">
      <c r="A275" s="6">
        <v>10274</v>
      </c>
      <c r="B275" s="5">
        <v>45634</v>
      </c>
      <c r="C275" s="4" t="s">
        <v>43</v>
      </c>
      <c r="D275" s="4" t="s">
        <v>36</v>
      </c>
      <c r="E275" s="4" t="s">
        <v>45</v>
      </c>
      <c r="F275" s="4" t="s">
        <v>57</v>
      </c>
      <c r="G275" s="4">
        <v>9</v>
      </c>
      <c r="H275" s="4">
        <v>44732</v>
      </c>
      <c r="I275" s="4">
        <v>0.05</v>
      </c>
      <c r="J275" s="4">
        <v>402588</v>
      </c>
      <c r="K275" s="4">
        <f t="shared" si="4"/>
        <v>140905.79999999999</v>
      </c>
      <c r="L275" s="4" t="s">
        <v>23</v>
      </c>
      <c r="M275" s="4" t="s">
        <v>24</v>
      </c>
      <c r="N27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76" spans="1:14">
      <c r="A276" s="6">
        <v>10275</v>
      </c>
      <c r="B276" s="5">
        <v>45546</v>
      </c>
      <c r="C276" s="4" t="s">
        <v>14</v>
      </c>
      <c r="D276" s="4" t="s">
        <v>41</v>
      </c>
      <c r="E276" s="4" t="s">
        <v>45</v>
      </c>
      <c r="F276" s="4" t="s">
        <v>60</v>
      </c>
      <c r="G276" s="4">
        <v>8</v>
      </c>
      <c r="H276" s="4">
        <v>26817</v>
      </c>
      <c r="I276" s="4">
        <v>0.01</v>
      </c>
      <c r="J276" s="4">
        <v>214536</v>
      </c>
      <c r="K276" s="4">
        <f t="shared" si="4"/>
        <v>75087.599999999991</v>
      </c>
      <c r="L276" s="4" t="s">
        <v>55</v>
      </c>
      <c r="M276" s="4" t="s">
        <v>54</v>
      </c>
      <c r="N27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77" spans="1:14">
      <c r="A277" s="6">
        <v>10276</v>
      </c>
      <c r="B277" s="5">
        <v>45327</v>
      </c>
      <c r="C277" s="4" t="s">
        <v>14</v>
      </c>
      <c r="D277" s="4" t="s">
        <v>20</v>
      </c>
      <c r="E277" s="4" t="s">
        <v>16</v>
      </c>
      <c r="F277" s="4" t="s">
        <v>65</v>
      </c>
      <c r="G277" s="4">
        <v>9</v>
      </c>
      <c r="H277" s="4">
        <v>19710</v>
      </c>
      <c r="I277" s="4">
        <v>0.05</v>
      </c>
      <c r="J277" s="4">
        <v>177390</v>
      </c>
      <c r="K277" s="4">
        <f t="shared" si="4"/>
        <v>35478</v>
      </c>
      <c r="L277" s="4" t="s">
        <v>29</v>
      </c>
      <c r="M277" s="4" t="s">
        <v>30</v>
      </c>
      <c r="N27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78" spans="1:14">
      <c r="A278" s="6">
        <v>10277</v>
      </c>
      <c r="B278" s="5">
        <v>45438</v>
      </c>
      <c r="C278" s="4" t="s">
        <v>48</v>
      </c>
      <c r="D278" s="4" t="s">
        <v>32</v>
      </c>
      <c r="E278" s="4" t="s">
        <v>33</v>
      </c>
      <c r="F278" s="4" t="s">
        <v>66</v>
      </c>
      <c r="G278" s="4">
        <v>1</v>
      </c>
      <c r="H278" s="4">
        <v>28516</v>
      </c>
      <c r="I278" s="4">
        <v>0.05</v>
      </c>
      <c r="J278" s="4">
        <v>28516</v>
      </c>
      <c r="K278" s="4">
        <f t="shared" si="4"/>
        <v>7129</v>
      </c>
      <c r="L278" s="4" t="s">
        <v>50</v>
      </c>
      <c r="M278" s="4" t="s">
        <v>19</v>
      </c>
      <c r="N27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79" spans="1:14">
      <c r="A279" s="6">
        <v>10278</v>
      </c>
      <c r="B279" s="5">
        <v>45397</v>
      </c>
      <c r="C279" s="4" t="s">
        <v>48</v>
      </c>
      <c r="D279" s="4" t="s">
        <v>38</v>
      </c>
      <c r="E279" s="4" t="s">
        <v>27</v>
      </c>
      <c r="F279" s="4" t="s">
        <v>64</v>
      </c>
      <c r="G279" s="4">
        <v>4</v>
      </c>
      <c r="H279" s="4">
        <v>29795</v>
      </c>
      <c r="I279" s="4">
        <v>0</v>
      </c>
      <c r="J279" s="4">
        <v>119180</v>
      </c>
      <c r="K279" s="4">
        <f t="shared" si="4"/>
        <v>11918</v>
      </c>
      <c r="L279" s="4" t="s">
        <v>37</v>
      </c>
      <c r="M279" s="4" t="s">
        <v>19</v>
      </c>
      <c r="N27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80" spans="1:14">
      <c r="A280" s="6">
        <v>10279</v>
      </c>
      <c r="B280" s="5">
        <v>45606</v>
      </c>
      <c r="C280" s="4" t="s">
        <v>25</v>
      </c>
      <c r="D280" s="4" t="s">
        <v>26</v>
      </c>
      <c r="E280" s="4" t="s">
        <v>27</v>
      </c>
      <c r="F280" s="4" t="s">
        <v>62</v>
      </c>
      <c r="G280" s="4">
        <v>5</v>
      </c>
      <c r="H280" s="4">
        <v>7370</v>
      </c>
      <c r="I280" s="4">
        <v>0</v>
      </c>
      <c r="J280" s="4">
        <v>36850</v>
      </c>
      <c r="K280" s="4">
        <f t="shared" si="4"/>
        <v>3685</v>
      </c>
      <c r="L280" s="4" t="s">
        <v>47</v>
      </c>
      <c r="M280" s="4" t="s">
        <v>24</v>
      </c>
      <c r="N28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81" spans="1:14">
      <c r="A281" s="6">
        <v>10280</v>
      </c>
      <c r="B281" s="5">
        <v>45595</v>
      </c>
      <c r="C281" s="4" t="s">
        <v>31</v>
      </c>
      <c r="D281" s="4" t="s">
        <v>15</v>
      </c>
      <c r="E281" s="4" t="s">
        <v>45</v>
      </c>
      <c r="F281" s="4" t="s">
        <v>60</v>
      </c>
      <c r="G281" s="4">
        <v>7</v>
      </c>
      <c r="H281" s="4">
        <v>34160</v>
      </c>
      <c r="I281" s="4">
        <v>0.02</v>
      </c>
      <c r="J281" s="4">
        <v>239120</v>
      </c>
      <c r="K281" s="4">
        <f t="shared" si="4"/>
        <v>83692</v>
      </c>
      <c r="L281" s="4" t="s">
        <v>58</v>
      </c>
      <c r="M281" s="4" t="s">
        <v>24</v>
      </c>
      <c r="N28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82" spans="1:14">
      <c r="A282" s="6">
        <v>10281</v>
      </c>
      <c r="B282" s="5">
        <v>45293</v>
      </c>
      <c r="C282" s="4" t="s">
        <v>25</v>
      </c>
      <c r="D282" s="4" t="s">
        <v>26</v>
      </c>
      <c r="E282" s="4" t="s">
        <v>21</v>
      </c>
      <c r="F282" s="4" t="s">
        <v>56</v>
      </c>
      <c r="G282" s="4">
        <v>7</v>
      </c>
      <c r="H282" s="4">
        <v>18761</v>
      </c>
      <c r="I282" s="4">
        <v>0.05</v>
      </c>
      <c r="J282" s="4">
        <v>131327</v>
      </c>
      <c r="K282" s="4">
        <f t="shared" si="4"/>
        <v>39398.1</v>
      </c>
      <c r="L282" s="4" t="s">
        <v>67</v>
      </c>
      <c r="M282" s="4" t="s">
        <v>30</v>
      </c>
      <c r="N28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283" spans="1:14">
      <c r="A283" s="6">
        <v>10282</v>
      </c>
      <c r="B283" s="5">
        <v>45481</v>
      </c>
      <c r="C283" s="4" t="s">
        <v>48</v>
      </c>
      <c r="D283" s="4" t="s">
        <v>32</v>
      </c>
      <c r="E283" s="4" t="s">
        <v>45</v>
      </c>
      <c r="F283" s="4" t="s">
        <v>57</v>
      </c>
      <c r="G283" s="4">
        <v>3</v>
      </c>
      <c r="H283" s="4">
        <v>39429</v>
      </c>
      <c r="I283" s="4">
        <v>0.02</v>
      </c>
      <c r="J283" s="4">
        <v>118287</v>
      </c>
      <c r="K283" s="4">
        <f t="shared" si="4"/>
        <v>41400.449999999997</v>
      </c>
      <c r="L283" s="4" t="s">
        <v>53</v>
      </c>
      <c r="M283" s="4" t="s">
        <v>54</v>
      </c>
      <c r="N28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84" spans="1:14">
      <c r="A284" s="6">
        <v>10283</v>
      </c>
      <c r="B284" s="5">
        <v>45454</v>
      </c>
      <c r="C284" s="4" t="s">
        <v>25</v>
      </c>
      <c r="D284" s="4" t="s">
        <v>51</v>
      </c>
      <c r="E284" s="4" t="s">
        <v>45</v>
      </c>
      <c r="F284" s="4" t="s">
        <v>57</v>
      </c>
      <c r="G284" s="4">
        <v>8</v>
      </c>
      <c r="H284" s="4">
        <v>5249</v>
      </c>
      <c r="I284" s="4">
        <v>0.01</v>
      </c>
      <c r="J284" s="4">
        <v>41992</v>
      </c>
      <c r="K284" s="4">
        <f t="shared" si="4"/>
        <v>14697.199999999999</v>
      </c>
      <c r="L284" s="4" t="s">
        <v>18</v>
      </c>
      <c r="M284" s="4" t="s">
        <v>19</v>
      </c>
      <c r="N28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85" spans="1:14">
      <c r="A285" s="6">
        <v>10284</v>
      </c>
      <c r="B285" s="5">
        <v>45499</v>
      </c>
      <c r="C285" s="4" t="s">
        <v>14</v>
      </c>
      <c r="D285" s="4" t="s">
        <v>32</v>
      </c>
      <c r="E285" s="4" t="s">
        <v>27</v>
      </c>
      <c r="F285" s="4" t="s">
        <v>64</v>
      </c>
      <c r="G285" s="4">
        <v>9</v>
      </c>
      <c r="H285" s="4">
        <v>6075</v>
      </c>
      <c r="I285" s="4">
        <v>0</v>
      </c>
      <c r="J285" s="4">
        <v>54675</v>
      </c>
      <c r="K285" s="4">
        <f t="shared" si="4"/>
        <v>5467.5</v>
      </c>
      <c r="L285" s="4" t="s">
        <v>53</v>
      </c>
      <c r="M285" s="4" t="s">
        <v>54</v>
      </c>
      <c r="N28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86" spans="1:14">
      <c r="A286" s="6">
        <v>10285</v>
      </c>
      <c r="B286" s="5">
        <v>45651</v>
      </c>
      <c r="C286" s="4" t="s">
        <v>31</v>
      </c>
      <c r="D286" s="4" t="s">
        <v>63</v>
      </c>
      <c r="E286" s="4" t="s">
        <v>16</v>
      </c>
      <c r="F286" s="4" t="s">
        <v>65</v>
      </c>
      <c r="G286" s="4">
        <v>9</v>
      </c>
      <c r="H286" s="4">
        <v>14074</v>
      </c>
      <c r="I286" s="4">
        <v>0.02</v>
      </c>
      <c r="J286" s="4">
        <v>126666</v>
      </c>
      <c r="K286" s="4">
        <f t="shared" si="4"/>
        <v>25333.200000000001</v>
      </c>
      <c r="L286" s="4" t="s">
        <v>23</v>
      </c>
      <c r="M286" s="4" t="s">
        <v>24</v>
      </c>
      <c r="N28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87" spans="1:14">
      <c r="A287" s="6">
        <v>10286</v>
      </c>
      <c r="B287" s="5">
        <v>45354</v>
      </c>
      <c r="C287" s="4" t="s">
        <v>31</v>
      </c>
      <c r="D287" s="4" t="s">
        <v>51</v>
      </c>
      <c r="E287" s="4" t="s">
        <v>33</v>
      </c>
      <c r="F287" s="4" t="s">
        <v>59</v>
      </c>
      <c r="G287" s="4">
        <v>1</v>
      </c>
      <c r="H287" s="4">
        <v>7816</v>
      </c>
      <c r="I287" s="4">
        <v>0.05</v>
      </c>
      <c r="J287" s="4">
        <v>7816</v>
      </c>
      <c r="K287" s="4">
        <f t="shared" si="4"/>
        <v>1954</v>
      </c>
      <c r="L287" s="4" t="s">
        <v>42</v>
      </c>
      <c r="M287" s="4" t="s">
        <v>30</v>
      </c>
      <c r="N28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88" spans="1:14">
      <c r="A288" s="6">
        <v>10287</v>
      </c>
      <c r="B288" s="5">
        <v>45543</v>
      </c>
      <c r="C288" s="4" t="s">
        <v>43</v>
      </c>
      <c r="D288" s="4" t="s">
        <v>38</v>
      </c>
      <c r="E288" s="4" t="s">
        <v>27</v>
      </c>
      <c r="F288" s="4" t="s">
        <v>28</v>
      </c>
      <c r="G288" s="4">
        <v>9</v>
      </c>
      <c r="H288" s="4">
        <v>6827</v>
      </c>
      <c r="I288" s="4">
        <v>0.02</v>
      </c>
      <c r="J288" s="4">
        <v>61443</v>
      </c>
      <c r="K288" s="4">
        <f t="shared" si="4"/>
        <v>6144.3</v>
      </c>
      <c r="L288" s="4" t="s">
        <v>55</v>
      </c>
      <c r="M288" s="4" t="s">
        <v>54</v>
      </c>
      <c r="N28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89" spans="1:14">
      <c r="A289" s="6">
        <v>10288</v>
      </c>
      <c r="B289" s="5">
        <v>45459</v>
      </c>
      <c r="C289" s="4" t="s">
        <v>48</v>
      </c>
      <c r="D289" s="4" t="s">
        <v>26</v>
      </c>
      <c r="E289" s="4" t="s">
        <v>16</v>
      </c>
      <c r="F289" s="4" t="s">
        <v>49</v>
      </c>
      <c r="G289" s="4">
        <v>9</v>
      </c>
      <c r="H289" s="4">
        <v>6374</v>
      </c>
      <c r="I289" s="4">
        <v>0.02</v>
      </c>
      <c r="J289" s="4">
        <v>57366</v>
      </c>
      <c r="K289" s="4">
        <f t="shared" si="4"/>
        <v>11473.2</v>
      </c>
      <c r="L289" s="4" t="s">
        <v>18</v>
      </c>
      <c r="M289" s="4" t="s">
        <v>19</v>
      </c>
      <c r="N28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90" spans="1:14">
      <c r="A290" s="6">
        <v>10289</v>
      </c>
      <c r="B290" s="5">
        <v>45330</v>
      </c>
      <c r="C290" s="4" t="s">
        <v>31</v>
      </c>
      <c r="D290" s="4" t="s">
        <v>32</v>
      </c>
      <c r="E290" s="4" t="s">
        <v>16</v>
      </c>
      <c r="F290" s="4" t="s">
        <v>17</v>
      </c>
      <c r="G290" s="4">
        <v>2</v>
      </c>
      <c r="H290" s="4">
        <v>2492</v>
      </c>
      <c r="I290" s="4">
        <v>0.02</v>
      </c>
      <c r="J290" s="4">
        <v>4984</v>
      </c>
      <c r="K290" s="4">
        <f t="shared" si="4"/>
        <v>996.80000000000007</v>
      </c>
      <c r="L290" s="4" t="s">
        <v>29</v>
      </c>
      <c r="M290" s="4" t="s">
        <v>30</v>
      </c>
      <c r="N29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91" spans="1:14">
      <c r="A291" s="6">
        <v>10290</v>
      </c>
      <c r="B291" s="5">
        <v>45438</v>
      </c>
      <c r="C291" s="4" t="s">
        <v>43</v>
      </c>
      <c r="D291" s="4" t="s">
        <v>15</v>
      </c>
      <c r="E291" s="4" t="s">
        <v>45</v>
      </c>
      <c r="F291" s="4" t="s">
        <v>57</v>
      </c>
      <c r="G291" s="4">
        <v>5</v>
      </c>
      <c r="H291" s="4">
        <v>3044</v>
      </c>
      <c r="I291" s="4">
        <v>0</v>
      </c>
      <c r="J291" s="4">
        <v>15220</v>
      </c>
      <c r="K291" s="4">
        <f t="shared" si="4"/>
        <v>5327</v>
      </c>
      <c r="L291" s="4" t="s">
        <v>50</v>
      </c>
      <c r="M291" s="4" t="s">
        <v>19</v>
      </c>
      <c r="N29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92" spans="1:14">
      <c r="A292" s="6">
        <v>10291</v>
      </c>
      <c r="B292" s="5">
        <v>45595</v>
      </c>
      <c r="C292" s="4" t="s">
        <v>14</v>
      </c>
      <c r="D292" s="4" t="s">
        <v>51</v>
      </c>
      <c r="E292" s="4" t="s">
        <v>27</v>
      </c>
      <c r="F292" s="4" t="s">
        <v>28</v>
      </c>
      <c r="G292" s="4">
        <v>1</v>
      </c>
      <c r="H292" s="4">
        <v>47087</v>
      </c>
      <c r="I292" s="4">
        <v>0</v>
      </c>
      <c r="J292" s="4">
        <v>47087</v>
      </c>
      <c r="K292" s="4">
        <f t="shared" si="4"/>
        <v>4708.7</v>
      </c>
      <c r="L292" s="4" t="s">
        <v>58</v>
      </c>
      <c r="M292" s="4" t="s">
        <v>24</v>
      </c>
      <c r="N29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93" spans="1:14">
      <c r="A293" s="6">
        <v>10292</v>
      </c>
      <c r="B293" s="5">
        <v>45438</v>
      </c>
      <c r="C293" s="4" t="s">
        <v>31</v>
      </c>
      <c r="D293" s="4" t="s">
        <v>38</v>
      </c>
      <c r="E293" s="4" t="s">
        <v>45</v>
      </c>
      <c r="F293" s="4" t="s">
        <v>60</v>
      </c>
      <c r="G293" s="4">
        <v>3</v>
      </c>
      <c r="H293" s="4">
        <v>27649</v>
      </c>
      <c r="I293" s="4">
        <v>0.05</v>
      </c>
      <c r="J293" s="4">
        <v>82947</v>
      </c>
      <c r="K293" s="4">
        <f t="shared" si="4"/>
        <v>29031.449999999997</v>
      </c>
      <c r="L293" s="4" t="s">
        <v>50</v>
      </c>
      <c r="M293" s="4" t="s">
        <v>19</v>
      </c>
      <c r="N29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94" spans="1:14">
      <c r="A294" s="6">
        <v>10293</v>
      </c>
      <c r="B294" s="5">
        <v>45471</v>
      </c>
      <c r="C294" s="4" t="s">
        <v>48</v>
      </c>
      <c r="D294" s="4" t="s">
        <v>44</v>
      </c>
      <c r="E294" s="4" t="s">
        <v>33</v>
      </c>
      <c r="F294" s="4" t="s">
        <v>66</v>
      </c>
      <c r="G294" s="4">
        <v>9</v>
      </c>
      <c r="H294" s="4">
        <v>13466</v>
      </c>
      <c r="I294" s="4">
        <v>0.05</v>
      </c>
      <c r="J294" s="4">
        <v>121194</v>
      </c>
      <c r="K294" s="4">
        <f t="shared" si="4"/>
        <v>30298.5</v>
      </c>
      <c r="L294" s="4" t="s">
        <v>18</v>
      </c>
      <c r="M294" s="4" t="s">
        <v>19</v>
      </c>
      <c r="N29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295" spans="1:14">
      <c r="A295" s="6">
        <v>10294</v>
      </c>
      <c r="B295" s="5">
        <v>45528</v>
      </c>
      <c r="C295" s="4" t="s">
        <v>31</v>
      </c>
      <c r="D295" s="4" t="s">
        <v>32</v>
      </c>
      <c r="E295" s="4" t="s">
        <v>45</v>
      </c>
      <c r="F295" s="4" t="s">
        <v>60</v>
      </c>
      <c r="G295" s="4">
        <v>6</v>
      </c>
      <c r="H295" s="4">
        <v>47571</v>
      </c>
      <c r="I295" s="4">
        <v>0.01</v>
      </c>
      <c r="J295" s="4">
        <v>285426</v>
      </c>
      <c r="K295" s="4">
        <f t="shared" si="4"/>
        <v>99899.099999999991</v>
      </c>
      <c r="L295" s="4" t="s">
        <v>61</v>
      </c>
      <c r="M295" s="4" t="s">
        <v>54</v>
      </c>
      <c r="N29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296" spans="1:14">
      <c r="A296" s="6">
        <v>10295</v>
      </c>
      <c r="B296" s="5">
        <v>45353</v>
      </c>
      <c r="C296" s="4" t="s">
        <v>25</v>
      </c>
      <c r="D296" s="4" t="s">
        <v>15</v>
      </c>
      <c r="E296" s="4" t="s">
        <v>27</v>
      </c>
      <c r="F296" s="4" t="s">
        <v>64</v>
      </c>
      <c r="G296" s="4">
        <v>8</v>
      </c>
      <c r="H296" s="4">
        <v>43070</v>
      </c>
      <c r="I296" s="4">
        <v>0.01</v>
      </c>
      <c r="J296" s="4">
        <v>344560</v>
      </c>
      <c r="K296" s="4">
        <f t="shared" si="4"/>
        <v>34456</v>
      </c>
      <c r="L296" s="4" t="s">
        <v>42</v>
      </c>
      <c r="M296" s="4" t="s">
        <v>30</v>
      </c>
      <c r="N29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297" spans="1:14">
      <c r="A297" s="6">
        <v>10296</v>
      </c>
      <c r="B297" s="5">
        <v>45417</v>
      </c>
      <c r="C297" s="4" t="s">
        <v>25</v>
      </c>
      <c r="D297" s="4" t="s">
        <v>26</v>
      </c>
      <c r="E297" s="4" t="s">
        <v>16</v>
      </c>
      <c r="F297" s="4" t="s">
        <v>17</v>
      </c>
      <c r="G297" s="4">
        <v>8</v>
      </c>
      <c r="H297" s="4">
        <v>47546</v>
      </c>
      <c r="I297" s="4">
        <v>0.05</v>
      </c>
      <c r="J297" s="4">
        <v>380368</v>
      </c>
      <c r="K297" s="4">
        <f t="shared" si="4"/>
        <v>76073.600000000006</v>
      </c>
      <c r="L297" s="4" t="s">
        <v>50</v>
      </c>
      <c r="M297" s="4" t="s">
        <v>19</v>
      </c>
      <c r="N29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98" spans="1:14">
      <c r="A298" s="6">
        <v>10297</v>
      </c>
      <c r="B298" s="5">
        <v>45581</v>
      </c>
      <c r="C298" s="4" t="s">
        <v>35</v>
      </c>
      <c r="D298" s="4" t="s">
        <v>15</v>
      </c>
      <c r="E298" s="4" t="s">
        <v>16</v>
      </c>
      <c r="F298" s="4" t="s">
        <v>49</v>
      </c>
      <c r="G298" s="4">
        <v>3</v>
      </c>
      <c r="H298" s="4">
        <v>31119</v>
      </c>
      <c r="I298" s="4">
        <v>0.01</v>
      </c>
      <c r="J298" s="4">
        <v>93357</v>
      </c>
      <c r="K298" s="4">
        <f t="shared" si="4"/>
        <v>18671.400000000001</v>
      </c>
      <c r="L298" s="4" t="s">
        <v>58</v>
      </c>
      <c r="M298" s="4" t="s">
        <v>24</v>
      </c>
      <c r="N29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299" spans="1:14">
      <c r="A299" s="6">
        <v>10298</v>
      </c>
      <c r="B299" s="5">
        <v>45436</v>
      </c>
      <c r="C299" s="4" t="s">
        <v>35</v>
      </c>
      <c r="D299" s="4" t="s">
        <v>26</v>
      </c>
      <c r="E299" s="4" t="s">
        <v>33</v>
      </c>
      <c r="F299" s="4" t="s">
        <v>59</v>
      </c>
      <c r="G299" s="4">
        <v>1</v>
      </c>
      <c r="H299" s="4">
        <v>18709</v>
      </c>
      <c r="I299" s="4">
        <v>0</v>
      </c>
      <c r="J299" s="4">
        <v>18709</v>
      </c>
      <c r="K299" s="4">
        <f t="shared" si="4"/>
        <v>4677.25</v>
      </c>
      <c r="L299" s="4" t="s">
        <v>50</v>
      </c>
      <c r="M299" s="4" t="s">
        <v>19</v>
      </c>
      <c r="N29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00" spans="1:14">
      <c r="A300" s="6">
        <v>10299</v>
      </c>
      <c r="B300" s="5">
        <v>45637</v>
      </c>
      <c r="C300" s="4" t="s">
        <v>14</v>
      </c>
      <c r="D300" s="4" t="s">
        <v>63</v>
      </c>
      <c r="E300" s="4" t="s">
        <v>27</v>
      </c>
      <c r="F300" s="4" t="s">
        <v>28</v>
      </c>
      <c r="G300" s="4">
        <v>5</v>
      </c>
      <c r="H300" s="4">
        <v>4828</v>
      </c>
      <c r="I300" s="4">
        <v>0</v>
      </c>
      <c r="J300" s="4">
        <v>24140</v>
      </c>
      <c r="K300" s="4">
        <f t="shared" si="4"/>
        <v>2414</v>
      </c>
      <c r="L300" s="4" t="s">
        <v>23</v>
      </c>
      <c r="M300" s="4" t="s">
        <v>24</v>
      </c>
      <c r="N30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01" spans="1:14">
      <c r="A301" s="6">
        <v>10300</v>
      </c>
      <c r="B301" s="5">
        <v>45517</v>
      </c>
      <c r="C301" s="4" t="s">
        <v>48</v>
      </c>
      <c r="D301" s="4" t="s">
        <v>38</v>
      </c>
      <c r="E301" s="4" t="s">
        <v>21</v>
      </c>
      <c r="F301" s="4" t="s">
        <v>56</v>
      </c>
      <c r="G301" s="4">
        <v>9</v>
      </c>
      <c r="H301" s="4">
        <v>6463</v>
      </c>
      <c r="I301" s="4">
        <v>0</v>
      </c>
      <c r="J301" s="4">
        <v>58167</v>
      </c>
      <c r="K301" s="4">
        <f t="shared" si="4"/>
        <v>17450.099999999999</v>
      </c>
      <c r="L301" s="4" t="s">
        <v>61</v>
      </c>
      <c r="M301" s="4" t="s">
        <v>54</v>
      </c>
      <c r="N30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02" spans="1:14">
      <c r="A302" s="6">
        <v>10301</v>
      </c>
      <c r="B302" s="5">
        <v>45559</v>
      </c>
      <c r="C302" s="4" t="s">
        <v>43</v>
      </c>
      <c r="D302" s="4" t="s">
        <v>63</v>
      </c>
      <c r="E302" s="4" t="s">
        <v>16</v>
      </c>
      <c r="F302" s="4" t="s">
        <v>49</v>
      </c>
      <c r="G302" s="4">
        <v>7</v>
      </c>
      <c r="H302" s="4">
        <v>4112</v>
      </c>
      <c r="I302" s="4">
        <v>0.02</v>
      </c>
      <c r="J302" s="4">
        <v>28784</v>
      </c>
      <c r="K302" s="4">
        <f t="shared" si="4"/>
        <v>5756.8</v>
      </c>
      <c r="L302" s="4" t="s">
        <v>55</v>
      </c>
      <c r="M302" s="4" t="s">
        <v>54</v>
      </c>
      <c r="N30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03" spans="1:14">
      <c r="A303" s="6">
        <v>10302</v>
      </c>
      <c r="B303" s="5">
        <v>45387</v>
      </c>
      <c r="C303" s="4" t="s">
        <v>35</v>
      </c>
      <c r="D303" s="4" t="s">
        <v>15</v>
      </c>
      <c r="E303" s="4" t="s">
        <v>27</v>
      </c>
      <c r="F303" s="4" t="s">
        <v>64</v>
      </c>
      <c r="G303" s="4">
        <v>8</v>
      </c>
      <c r="H303" s="4">
        <v>9210</v>
      </c>
      <c r="I303" s="4">
        <v>0.05</v>
      </c>
      <c r="J303" s="4">
        <v>73680</v>
      </c>
      <c r="K303" s="4">
        <f t="shared" si="4"/>
        <v>7368</v>
      </c>
      <c r="L303" s="4" t="s">
        <v>37</v>
      </c>
      <c r="M303" s="4" t="s">
        <v>19</v>
      </c>
      <c r="N30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04" spans="1:14">
      <c r="A304" s="6">
        <v>10303</v>
      </c>
      <c r="B304" s="5">
        <v>45563</v>
      </c>
      <c r="C304" s="4" t="s">
        <v>35</v>
      </c>
      <c r="D304" s="4" t="s">
        <v>15</v>
      </c>
      <c r="E304" s="4" t="s">
        <v>33</v>
      </c>
      <c r="F304" s="4" t="s">
        <v>59</v>
      </c>
      <c r="G304" s="4">
        <v>7</v>
      </c>
      <c r="H304" s="4">
        <v>34755</v>
      </c>
      <c r="I304" s="4">
        <v>0.01</v>
      </c>
      <c r="J304" s="4">
        <v>243285</v>
      </c>
      <c r="K304" s="4">
        <f t="shared" si="4"/>
        <v>60821.25</v>
      </c>
      <c r="L304" s="4" t="s">
        <v>55</v>
      </c>
      <c r="M304" s="4" t="s">
        <v>54</v>
      </c>
      <c r="N30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05" spans="1:14">
      <c r="A305" s="6">
        <v>10304</v>
      </c>
      <c r="B305" s="5">
        <v>45386</v>
      </c>
      <c r="C305" s="4" t="s">
        <v>48</v>
      </c>
      <c r="D305" s="4" t="s">
        <v>63</v>
      </c>
      <c r="E305" s="4" t="s">
        <v>16</v>
      </c>
      <c r="F305" s="4" t="s">
        <v>65</v>
      </c>
      <c r="G305" s="4">
        <v>7</v>
      </c>
      <c r="H305" s="4">
        <v>4760</v>
      </c>
      <c r="I305" s="4">
        <v>0.02</v>
      </c>
      <c r="J305" s="4">
        <v>33320</v>
      </c>
      <c r="K305" s="4">
        <f t="shared" si="4"/>
        <v>6664</v>
      </c>
      <c r="L305" s="4" t="s">
        <v>37</v>
      </c>
      <c r="M305" s="4" t="s">
        <v>19</v>
      </c>
      <c r="N30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06" spans="1:14">
      <c r="A306" s="6">
        <v>10305</v>
      </c>
      <c r="B306" s="5">
        <v>45595</v>
      </c>
      <c r="C306" s="4" t="s">
        <v>31</v>
      </c>
      <c r="D306" s="4" t="s">
        <v>36</v>
      </c>
      <c r="E306" s="4" t="s">
        <v>16</v>
      </c>
      <c r="F306" s="4" t="s">
        <v>65</v>
      </c>
      <c r="G306" s="4">
        <v>5</v>
      </c>
      <c r="H306" s="4">
        <v>33402</v>
      </c>
      <c r="I306" s="4">
        <v>0.02</v>
      </c>
      <c r="J306" s="4">
        <v>167010</v>
      </c>
      <c r="K306" s="4">
        <f t="shared" si="4"/>
        <v>33402</v>
      </c>
      <c r="L306" s="4" t="s">
        <v>58</v>
      </c>
      <c r="M306" s="4" t="s">
        <v>24</v>
      </c>
      <c r="N30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07" spans="1:14">
      <c r="A307" s="6">
        <v>10306</v>
      </c>
      <c r="B307" s="5">
        <v>45528</v>
      </c>
      <c r="C307" s="4" t="s">
        <v>31</v>
      </c>
      <c r="D307" s="4" t="s">
        <v>20</v>
      </c>
      <c r="E307" s="4" t="s">
        <v>16</v>
      </c>
      <c r="F307" s="4" t="s">
        <v>49</v>
      </c>
      <c r="G307" s="4">
        <v>3</v>
      </c>
      <c r="H307" s="4">
        <v>20086</v>
      </c>
      <c r="I307" s="4">
        <v>0</v>
      </c>
      <c r="J307" s="4">
        <v>60258</v>
      </c>
      <c r="K307" s="4">
        <f t="shared" si="4"/>
        <v>12051.6</v>
      </c>
      <c r="L307" s="4" t="s">
        <v>61</v>
      </c>
      <c r="M307" s="4" t="s">
        <v>54</v>
      </c>
      <c r="N30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08" spans="1:14">
      <c r="A308" s="6">
        <v>10307</v>
      </c>
      <c r="B308" s="5">
        <v>45454</v>
      </c>
      <c r="C308" s="4" t="s">
        <v>43</v>
      </c>
      <c r="D308" s="4" t="s">
        <v>20</v>
      </c>
      <c r="E308" s="4" t="s">
        <v>21</v>
      </c>
      <c r="F308" s="4" t="s">
        <v>52</v>
      </c>
      <c r="G308" s="4">
        <v>2</v>
      </c>
      <c r="H308" s="4">
        <v>5658</v>
      </c>
      <c r="I308" s="4">
        <v>0.01</v>
      </c>
      <c r="J308" s="4">
        <v>11316</v>
      </c>
      <c r="K308" s="4">
        <f t="shared" si="4"/>
        <v>3394.7999999999997</v>
      </c>
      <c r="L308" s="4" t="s">
        <v>18</v>
      </c>
      <c r="M308" s="4" t="s">
        <v>19</v>
      </c>
      <c r="N30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09" spans="1:14">
      <c r="A309" s="6">
        <v>10308</v>
      </c>
      <c r="B309" s="5">
        <v>45646</v>
      </c>
      <c r="C309" s="4" t="s">
        <v>31</v>
      </c>
      <c r="D309" s="4" t="s">
        <v>26</v>
      </c>
      <c r="E309" s="4" t="s">
        <v>45</v>
      </c>
      <c r="F309" s="4" t="s">
        <v>46</v>
      </c>
      <c r="G309" s="4">
        <v>5</v>
      </c>
      <c r="H309" s="4">
        <v>12777</v>
      </c>
      <c r="I309" s="4">
        <v>0</v>
      </c>
      <c r="J309" s="4">
        <v>63885</v>
      </c>
      <c r="K309" s="4">
        <f t="shared" si="4"/>
        <v>22359.75</v>
      </c>
      <c r="L309" s="4" t="s">
        <v>23</v>
      </c>
      <c r="M309" s="4" t="s">
        <v>24</v>
      </c>
      <c r="N30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10" spans="1:14">
      <c r="A310" s="6">
        <v>10309</v>
      </c>
      <c r="B310" s="5">
        <v>45433</v>
      </c>
      <c r="C310" s="4" t="s">
        <v>25</v>
      </c>
      <c r="D310" s="4" t="s">
        <v>32</v>
      </c>
      <c r="E310" s="4" t="s">
        <v>21</v>
      </c>
      <c r="F310" s="4" t="s">
        <v>22</v>
      </c>
      <c r="G310" s="4">
        <v>1</v>
      </c>
      <c r="H310" s="4">
        <v>49438</v>
      </c>
      <c r="I310" s="4">
        <v>0</v>
      </c>
      <c r="J310" s="4">
        <v>49438</v>
      </c>
      <c r="K310" s="4">
        <f t="shared" si="4"/>
        <v>14831.4</v>
      </c>
      <c r="L310" s="4" t="s">
        <v>50</v>
      </c>
      <c r="M310" s="4" t="s">
        <v>19</v>
      </c>
      <c r="N31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11" spans="1:14">
      <c r="A311" s="6">
        <v>10310</v>
      </c>
      <c r="B311" s="5">
        <v>45349</v>
      </c>
      <c r="C311" s="4" t="s">
        <v>25</v>
      </c>
      <c r="D311" s="4" t="s">
        <v>38</v>
      </c>
      <c r="E311" s="4" t="s">
        <v>33</v>
      </c>
      <c r="F311" s="4" t="s">
        <v>34</v>
      </c>
      <c r="G311" s="4">
        <v>7</v>
      </c>
      <c r="H311" s="4">
        <v>39392</v>
      </c>
      <c r="I311" s="4">
        <v>0.01</v>
      </c>
      <c r="J311" s="4">
        <v>275744</v>
      </c>
      <c r="K311" s="4">
        <f t="shared" si="4"/>
        <v>68936</v>
      </c>
      <c r="L311" s="4" t="s">
        <v>29</v>
      </c>
      <c r="M311" s="4" t="s">
        <v>30</v>
      </c>
      <c r="N31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12" spans="1:14">
      <c r="A312" s="6">
        <v>10311</v>
      </c>
      <c r="B312" s="5">
        <v>45443</v>
      </c>
      <c r="C312" s="4" t="s">
        <v>31</v>
      </c>
      <c r="D312" s="4" t="s">
        <v>32</v>
      </c>
      <c r="E312" s="4" t="s">
        <v>27</v>
      </c>
      <c r="F312" s="4" t="s">
        <v>62</v>
      </c>
      <c r="G312" s="4">
        <v>7</v>
      </c>
      <c r="H312" s="4">
        <v>35888</v>
      </c>
      <c r="I312" s="4">
        <v>0</v>
      </c>
      <c r="J312" s="4">
        <v>251216</v>
      </c>
      <c r="K312" s="4">
        <f t="shared" si="4"/>
        <v>25121.600000000002</v>
      </c>
      <c r="L312" s="4" t="s">
        <v>50</v>
      </c>
      <c r="M312" s="4" t="s">
        <v>19</v>
      </c>
      <c r="N31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13" spans="1:14">
      <c r="A313" s="6">
        <v>10312</v>
      </c>
      <c r="B313" s="5">
        <v>45340</v>
      </c>
      <c r="C313" s="4" t="s">
        <v>43</v>
      </c>
      <c r="D313" s="4" t="s">
        <v>32</v>
      </c>
      <c r="E313" s="4" t="s">
        <v>45</v>
      </c>
      <c r="F313" s="4" t="s">
        <v>60</v>
      </c>
      <c r="G313" s="4">
        <v>9</v>
      </c>
      <c r="H313" s="4">
        <v>4134</v>
      </c>
      <c r="I313" s="4">
        <v>0.02</v>
      </c>
      <c r="J313" s="4">
        <v>37206</v>
      </c>
      <c r="K313" s="4">
        <f t="shared" si="4"/>
        <v>13022.099999999999</v>
      </c>
      <c r="L313" s="4" t="s">
        <v>29</v>
      </c>
      <c r="M313" s="4" t="s">
        <v>30</v>
      </c>
      <c r="N31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14" spans="1:14">
      <c r="A314" s="6">
        <v>10313</v>
      </c>
      <c r="B314" s="5">
        <v>45642</v>
      </c>
      <c r="C314" s="4" t="s">
        <v>25</v>
      </c>
      <c r="D314" s="4" t="s">
        <v>26</v>
      </c>
      <c r="E314" s="4" t="s">
        <v>21</v>
      </c>
      <c r="F314" s="4" t="s">
        <v>56</v>
      </c>
      <c r="G314" s="4">
        <v>4</v>
      </c>
      <c r="H314" s="4">
        <v>21384</v>
      </c>
      <c r="I314" s="4">
        <v>0.05</v>
      </c>
      <c r="J314" s="4">
        <v>85536</v>
      </c>
      <c r="K314" s="4">
        <f t="shared" si="4"/>
        <v>25660.799999999999</v>
      </c>
      <c r="L314" s="4" t="s">
        <v>23</v>
      </c>
      <c r="M314" s="4" t="s">
        <v>24</v>
      </c>
      <c r="N31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15" spans="1:14">
      <c r="A315" s="6">
        <v>10314</v>
      </c>
      <c r="B315" s="5">
        <v>45444</v>
      </c>
      <c r="C315" s="4" t="s">
        <v>31</v>
      </c>
      <c r="D315" s="4" t="s">
        <v>41</v>
      </c>
      <c r="E315" s="4" t="s">
        <v>45</v>
      </c>
      <c r="F315" s="4" t="s">
        <v>57</v>
      </c>
      <c r="G315" s="4">
        <v>8</v>
      </c>
      <c r="H315" s="4">
        <v>22312</v>
      </c>
      <c r="I315" s="4">
        <v>0</v>
      </c>
      <c r="J315" s="4">
        <v>178496</v>
      </c>
      <c r="K315" s="4">
        <f t="shared" si="4"/>
        <v>62473.599999999999</v>
      </c>
      <c r="L315" s="4" t="s">
        <v>18</v>
      </c>
      <c r="M315" s="4" t="s">
        <v>19</v>
      </c>
      <c r="N31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16" spans="1:14">
      <c r="A316" s="6">
        <v>10315</v>
      </c>
      <c r="B316" s="5">
        <v>45434</v>
      </c>
      <c r="C316" s="4" t="s">
        <v>14</v>
      </c>
      <c r="D316" s="4" t="s">
        <v>36</v>
      </c>
      <c r="E316" s="4" t="s">
        <v>27</v>
      </c>
      <c r="F316" s="4" t="s">
        <v>28</v>
      </c>
      <c r="G316" s="4">
        <v>3</v>
      </c>
      <c r="H316" s="4">
        <v>45014</v>
      </c>
      <c r="I316" s="4">
        <v>0.02</v>
      </c>
      <c r="J316" s="4">
        <v>135042</v>
      </c>
      <c r="K316" s="4">
        <f t="shared" si="4"/>
        <v>13504.2</v>
      </c>
      <c r="L316" s="4" t="s">
        <v>50</v>
      </c>
      <c r="M316" s="4" t="s">
        <v>19</v>
      </c>
      <c r="N31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17" spans="1:14">
      <c r="A317" s="6">
        <v>10316</v>
      </c>
      <c r="B317" s="5">
        <v>45392</v>
      </c>
      <c r="C317" s="4" t="s">
        <v>25</v>
      </c>
      <c r="D317" s="4" t="s">
        <v>26</v>
      </c>
      <c r="E317" s="4" t="s">
        <v>27</v>
      </c>
      <c r="F317" s="4" t="s">
        <v>28</v>
      </c>
      <c r="G317" s="4">
        <v>5</v>
      </c>
      <c r="H317" s="4">
        <v>14703</v>
      </c>
      <c r="I317" s="4">
        <v>0.01</v>
      </c>
      <c r="J317" s="4">
        <v>73515</v>
      </c>
      <c r="K317" s="4">
        <f t="shared" si="4"/>
        <v>7351.5</v>
      </c>
      <c r="L317" s="4" t="s">
        <v>37</v>
      </c>
      <c r="M317" s="4" t="s">
        <v>19</v>
      </c>
      <c r="N31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18" spans="1:14">
      <c r="A318" s="6">
        <v>10317</v>
      </c>
      <c r="B318" s="5">
        <v>45408</v>
      </c>
      <c r="C318" s="4" t="s">
        <v>25</v>
      </c>
      <c r="D318" s="4" t="s">
        <v>44</v>
      </c>
      <c r="E318" s="4" t="s">
        <v>45</v>
      </c>
      <c r="F318" s="4" t="s">
        <v>60</v>
      </c>
      <c r="G318" s="4">
        <v>1</v>
      </c>
      <c r="H318" s="4">
        <v>19284</v>
      </c>
      <c r="I318" s="4">
        <v>0.01</v>
      </c>
      <c r="J318" s="4">
        <v>19284</v>
      </c>
      <c r="K318" s="4">
        <f t="shared" si="4"/>
        <v>6749.4</v>
      </c>
      <c r="L318" s="4" t="s">
        <v>37</v>
      </c>
      <c r="M318" s="4" t="s">
        <v>19</v>
      </c>
      <c r="N31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19" spans="1:14">
      <c r="A319" s="6">
        <v>10318</v>
      </c>
      <c r="B319" s="5">
        <v>45317</v>
      </c>
      <c r="C319" s="4" t="s">
        <v>43</v>
      </c>
      <c r="D319" s="4" t="s">
        <v>44</v>
      </c>
      <c r="E319" s="4" t="s">
        <v>27</v>
      </c>
      <c r="F319" s="4" t="s">
        <v>64</v>
      </c>
      <c r="G319" s="4">
        <v>6</v>
      </c>
      <c r="H319" s="4">
        <v>38226</v>
      </c>
      <c r="I319" s="4">
        <v>0.05</v>
      </c>
      <c r="J319" s="4">
        <v>229356</v>
      </c>
      <c r="K319" s="4">
        <f t="shared" si="4"/>
        <v>22935.600000000002</v>
      </c>
      <c r="L319" s="4" t="s">
        <v>67</v>
      </c>
      <c r="M319" s="4" t="s">
        <v>30</v>
      </c>
      <c r="N31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20" spans="1:14">
      <c r="A320" s="6">
        <v>10319</v>
      </c>
      <c r="B320" s="5">
        <v>45388</v>
      </c>
      <c r="C320" s="4" t="s">
        <v>48</v>
      </c>
      <c r="D320" s="4" t="s">
        <v>41</v>
      </c>
      <c r="E320" s="4" t="s">
        <v>27</v>
      </c>
      <c r="F320" s="4" t="s">
        <v>62</v>
      </c>
      <c r="G320" s="4">
        <v>5</v>
      </c>
      <c r="H320" s="4">
        <v>3169</v>
      </c>
      <c r="I320" s="4">
        <v>0</v>
      </c>
      <c r="J320" s="4">
        <v>15845</v>
      </c>
      <c r="K320" s="4">
        <f t="shared" si="4"/>
        <v>1584.5</v>
      </c>
      <c r="L320" s="4" t="s">
        <v>37</v>
      </c>
      <c r="M320" s="4" t="s">
        <v>19</v>
      </c>
      <c r="N32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21" spans="1:14">
      <c r="A321" s="6">
        <v>10320</v>
      </c>
      <c r="B321" s="5">
        <v>45622</v>
      </c>
      <c r="C321" s="4" t="s">
        <v>43</v>
      </c>
      <c r="D321" s="4" t="s">
        <v>63</v>
      </c>
      <c r="E321" s="4" t="s">
        <v>45</v>
      </c>
      <c r="F321" s="4" t="s">
        <v>57</v>
      </c>
      <c r="G321" s="4">
        <v>6</v>
      </c>
      <c r="H321" s="4">
        <v>31403</v>
      </c>
      <c r="I321" s="4">
        <v>0.01</v>
      </c>
      <c r="J321" s="4">
        <v>188418</v>
      </c>
      <c r="K321" s="4">
        <f t="shared" si="4"/>
        <v>65946.3</v>
      </c>
      <c r="L321" s="4" t="s">
        <v>47</v>
      </c>
      <c r="M321" s="4" t="s">
        <v>24</v>
      </c>
      <c r="N32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22" spans="1:14">
      <c r="A322" s="6">
        <v>10321</v>
      </c>
      <c r="B322" s="5">
        <v>45404</v>
      </c>
      <c r="C322" s="4" t="s">
        <v>35</v>
      </c>
      <c r="D322" s="4" t="s">
        <v>44</v>
      </c>
      <c r="E322" s="4" t="s">
        <v>16</v>
      </c>
      <c r="F322" s="4" t="s">
        <v>49</v>
      </c>
      <c r="G322" s="4">
        <v>1</v>
      </c>
      <c r="H322" s="4">
        <v>37575</v>
      </c>
      <c r="I322" s="4">
        <v>0.05</v>
      </c>
      <c r="J322" s="4">
        <v>37575</v>
      </c>
      <c r="K322" s="4">
        <f t="shared" ref="K322:K385" si="5">J322*N322</f>
        <v>7515</v>
      </c>
      <c r="L322" s="4" t="s">
        <v>37</v>
      </c>
      <c r="M322" s="4" t="s">
        <v>19</v>
      </c>
      <c r="N32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23" spans="1:14">
      <c r="A323" s="6">
        <v>10322</v>
      </c>
      <c r="B323" s="5">
        <v>45601</v>
      </c>
      <c r="C323" s="4" t="s">
        <v>25</v>
      </c>
      <c r="D323" s="4" t="s">
        <v>15</v>
      </c>
      <c r="E323" s="4" t="s">
        <v>33</v>
      </c>
      <c r="F323" s="4" t="s">
        <v>59</v>
      </c>
      <c r="G323" s="4">
        <v>2</v>
      </c>
      <c r="H323" s="4">
        <v>9556</v>
      </c>
      <c r="I323" s="4">
        <v>0.01</v>
      </c>
      <c r="J323" s="4">
        <v>19112</v>
      </c>
      <c r="K323" s="4">
        <f t="shared" si="5"/>
        <v>4778</v>
      </c>
      <c r="L323" s="4" t="s">
        <v>47</v>
      </c>
      <c r="M323" s="4" t="s">
        <v>24</v>
      </c>
      <c r="N32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24" spans="1:14">
      <c r="A324" s="6">
        <v>10323</v>
      </c>
      <c r="B324" s="5">
        <v>45304</v>
      </c>
      <c r="C324" s="4" t="s">
        <v>14</v>
      </c>
      <c r="D324" s="4" t="s">
        <v>36</v>
      </c>
      <c r="E324" s="4" t="s">
        <v>27</v>
      </c>
      <c r="F324" s="4" t="s">
        <v>64</v>
      </c>
      <c r="G324" s="4">
        <v>3</v>
      </c>
      <c r="H324" s="4">
        <v>5857</v>
      </c>
      <c r="I324" s="4">
        <v>0</v>
      </c>
      <c r="J324" s="4">
        <v>17571</v>
      </c>
      <c r="K324" s="4">
        <f t="shared" si="5"/>
        <v>1757.1000000000001</v>
      </c>
      <c r="L324" s="4" t="s">
        <v>67</v>
      </c>
      <c r="M324" s="4" t="s">
        <v>30</v>
      </c>
      <c r="N32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25" spans="1:14">
      <c r="A325" s="6">
        <v>10324</v>
      </c>
      <c r="B325" s="5">
        <v>45464</v>
      </c>
      <c r="C325" s="4" t="s">
        <v>31</v>
      </c>
      <c r="D325" s="4" t="s">
        <v>63</v>
      </c>
      <c r="E325" s="4" t="s">
        <v>45</v>
      </c>
      <c r="F325" s="4" t="s">
        <v>57</v>
      </c>
      <c r="G325" s="4">
        <v>4</v>
      </c>
      <c r="H325" s="4">
        <v>10714</v>
      </c>
      <c r="I325" s="4">
        <v>0</v>
      </c>
      <c r="J325" s="4">
        <v>42856</v>
      </c>
      <c r="K325" s="4">
        <f t="shared" si="5"/>
        <v>14999.599999999999</v>
      </c>
      <c r="L325" s="4" t="s">
        <v>18</v>
      </c>
      <c r="M325" s="4" t="s">
        <v>19</v>
      </c>
      <c r="N32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26" spans="1:14">
      <c r="A326" s="6">
        <v>10325</v>
      </c>
      <c r="B326" s="5">
        <v>45452</v>
      </c>
      <c r="C326" s="4" t="s">
        <v>35</v>
      </c>
      <c r="D326" s="4" t="s">
        <v>36</v>
      </c>
      <c r="E326" s="4" t="s">
        <v>33</v>
      </c>
      <c r="F326" s="4" t="s">
        <v>66</v>
      </c>
      <c r="G326" s="4">
        <v>4</v>
      </c>
      <c r="H326" s="4">
        <v>40420</v>
      </c>
      <c r="I326" s="4">
        <v>0</v>
      </c>
      <c r="J326" s="4">
        <v>161680</v>
      </c>
      <c r="K326" s="4">
        <f t="shared" si="5"/>
        <v>40420</v>
      </c>
      <c r="L326" s="4" t="s">
        <v>18</v>
      </c>
      <c r="M326" s="4" t="s">
        <v>19</v>
      </c>
      <c r="N32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27" spans="1:14">
      <c r="A327" s="6">
        <v>10326</v>
      </c>
      <c r="B327" s="5">
        <v>45372</v>
      </c>
      <c r="C327" s="4" t="s">
        <v>43</v>
      </c>
      <c r="D327" s="4" t="s">
        <v>41</v>
      </c>
      <c r="E327" s="4" t="s">
        <v>16</v>
      </c>
      <c r="F327" s="4" t="s">
        <v>17</v>
      </c>
      <c r="G327" s="4">
        <v>7</v>
      </c>
      <c r="H327" s="4">
        <v>49980</v>
      </c>
      <c r="I327" s="4">
        <v>0.05</v>
      </c>
      <c r="J327" s="4">
        <v>349860</v>
      </c>
      <c r="K327" s="4">
        <f t="shared" si="5"/>
        <v>69972</v>
      </c>
      <c r="L327" s="4" t="s">
        <v>42</v>
      </c>
      <c r="M327" s="4" t="s">
        <v>30</v>
      </c>
      <c r="N32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28" spans="1:14">
      <c r="A328" s="6">
        <v>10327</v>
      </c>
      <c r="B328" s="5">
        <v>45335</v>
      </c>
      <c r="C328" s="4" t="s">
        <v>31</v>
      </c>
      <c r="D328" s="4" t="s">
        <v>26</v>
      </c>
      <c r="E328" s="4" t="s">
        <v>16</v>
      </c>
      <c r="F328" s="4" t="s">
        <v>49</v>
      </c>
      <c r="G328" s="4">
        <v>3</v>
      </c>
      <c r="H328" s="4">
        <v>11238</v>
      </c>
      <c r="I328" s="4">
        <v>0.05</v>
      </c>
      <c r="J328" s="4">
        <v>33714</v>
      </c>
      <c r="K328" s="4">
        <f t="shared" si="5"/>
        <v>6742.8</v>
      </c>
      <c r="L328" s="4" t="s">
        <v>29</v>
      </c>
      <c r="M328" s="4" t="s">
        <v>30</v>
      </c>
      <c r="N32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29" spans="1:14">
      <c r="A329" s="6">
        <v>10328</v>
      </c>
      <c r="B329" s="5">
        <v>45353</v>
      </c>
      <c r="C329" s="4" t="s">
        <v>48</v>
      </c>
      <c r="D329" s="4" t="s">
        <v>26</v>
      </c>
      <c r="E329" s="4" t="s">
        <v>21</v>
      </c>
      <c r="F329" s="4" t="s">
        <v>56</v>
      </c>
      <c r="G329" s="4">
        <v>5</v>
      </c>
      <c r="H329" s="4">
        <v>45789</v>
      </c>
      <c r="I329" s="4">
        <v>0.02</v>
      </c>
      <c r="J329" s="4">
        <v>228945</v>
      </c>
      <c r="K329" s="4">
        <f t="shared" si="5"/>
        <v>68683.5</v>
      </c>
      <c r="L329" s="4" t="s">
        <v>42</v>
      </c>
      <c r="M329" s="4" t="s">
        <v>30</v>
      </c>
      <c r="N32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30" spans="1:14">
      <c r="A330" s="6">
        <v>10329</v>
      </c>
      <c r="B330" s="5">
        <v>45632</v>
      </c>
      <c r="C330" s="4" t="s">
        <v>31</v>
      </c>
      <c r="D330" s="4" t="s">
        <v>38</v>
      </c>
      <c r="E330" s="4" t="s">
        <v>33</v>
      </c>
      <c r="F330" s="4" t="s">
        <v>59</v>
      </c>
      <c r="G330" s="4">
        <v>6</v>
      </c>
      <c r="H330" s="4">
        <v>33272</v>
      </c>
      <c r="I330" s="4">
        <v>0.02</v>
      </c>
      <c r="J330" s="4">
        <v>199632</v>
      </c>
      <c r="K330" s="4">
        <f t="shared" si="5"/>
        <v>49908</v>
      </c>
      <c r="L330" s="4" t="s">
        <v>23</v>
      </c>
      <c r="M330" s="4" t="s">
        <v>24</v>
      </c>
      <c r="N33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31" spans="1:14">
      <c r="A331" s="6">
        <v>10330</v>
      </c>
      <c r="B331" s="5">
        <v>45486</v>
      </c>
      <c r="C331" s="4" t="s">
        <v>14</v>
      </c>
      <c r="D331" s="4" t="s">
        <v>44</v>
      </c>
      <c r="E331" s="4" t="s">
        <v>45</v>
      </c>
      <c r="F331" s="4" t="s">
        <v>60</v>
      </c>
      <c r="G331" s="4">
        <v>6</v>
      </c>
      <c r="H331" s="4">
        <v>29064</v>
      </c>
      <c r="I331" s="4">
        <v>0.01</v>
      </c>
      <c r="J331" s="4">
        <v>174384</v>
      </c>
      <c r="K331" s="4">
        <f t="shared" si="5"/>
        <v>61034.399999999994</v>
      </c>
      <c r="L331" s="4" t="s">
        <v>53</v>
      </c>
      <c r="M331" s="4" t="s">
        <v>54</v>
      </c>
      <c r="N33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32" spans="1:14">
      <c r="A332" s="6">
        <v>10331</v>
      </c>
      <c r="B332" s="5">
        <v>45461</v>
      </c>
      <c r="C332" s="4" t="s">
        <v>25</v>
      </c>
      <c r="D332" s="4" t="s">
        <v>32</v>
      </c>
      <c r="E332" s="4" t="s">
        <v>27</v>
      </c>
      <c r="F332" s="4" t="s">
        <v>64</v>
      </c>
      <c r="G332" s="4">
        <v>2</v>
      </c>
      <c r="H332" s="4">
        <v>37304</v>
      </c>
      <c r="I332" s="4">
        <v>0.02</v>
      </c>
      <c r="J332" s="4">
        <v>74608</v>
      </c>
      <c r="K332" s="4">
        <f t="shared" si="5"/>
        <v>7460.8</v>
      </c>
      <c r="L332" s="4" t="s">
        <v>18</v>
      </c>
      <c r="M332" s="4" t="s">
        <v>19</v>
      </c>
      <c r="N33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33" spans="1:14">
      <c r="A333" s="6">
        <v>10332</v>
      </c>
      <c r="B333" s="5">
        <v>45504</v>
      </c>
      <c r="C333" s="4" t="s">
        <v>31</v>
      </c>
      <c r="D333" s="4" t="s">
        <v>63</v>
      </c>
      <c r="E333" s="4" t="s">
        <v>45</v>
      </c>
      <c r="F333" s="4" t="s">
        <v>46</v>
      </c>
      <c r="G333" s="4">
        <v>3</v>
      </c>
      <c r="H333" s="4">
        <v>20503</v>
      </c>
      <c r="I333" s="4">
        <v>0.02</v>
      </c>
      <c r="J333" s="4">
        <v>61509</v>
      </c>
      <c r="K333" s="4">
        <f t="shared" si="5"/>
        <v>21528.149999999998</v>
      </c>
      <c r="L333" s="4" t="s">
        <v>53</v>
      </c>
      <c r="M333" s="4" t="s">
        <v>54</v>
      </c>
      <c r="N33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34" spans="1:14">
      <c r="A334" s="6">
        <v>10333</v>
      </c>
      <c r="B334" s="5">
        <v>45339</v>
      </c>
      <c r="C334" s="4" t="s">
        <v>25</v>
      </c>
      <c r="D334" s="4" t="s">
        <v>15</v>
      </c>
      <c r="E334" s="4" t="s">
        <v>33</v>
      </c>
      <c r="F334" s="4" t="s">
        <v>59</v>
      </c>
      <c r="G334" s="4">
        <v>1</v>
      </c>
      <c r="H334" s="4">
        <v>37703</v>
      </c>
      <c r="I334" s="4">
        <v>0.05</v>
      </c>
      <c r="J334" s="4">
        <v>37703</v>
      </c>
      <c r="K334" s="4">
        <f t="shared" si="5"/>
        <v>9425.75</v>
      </c>
      <c r="L334" s="4" t="s">
        <v>29</v>
      </c>
      <c r="M334" s="4" t="s">
        <v>30</v>
      </c>
      <c r="N33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35" spans="1:14">
      <c r="A335" s="6">
        <v>10334</v>
      </c>
      <c r="B335" s="5">
        <v>45514</v>
      </c>
      <c r="C335" s="4" t="s">
        <v>35</v>
      </c>
      <c r="D335" s="4" t="s">
        <v>63</v>
      </c>
      <c r="E335" s="4" t="s">
        <v>27</v>
      </c>
      <c r="F335" s="4" t="s">
        <v>64</v>
      </c>
      <c r="G335" s="4">
        <v>2</v>
      </c>
      <c r="H335" s="4">
        <v>28103</v>
      </c>
      <c r="I335" s="4">
        <v>0.01</v>
      </c>
      <c r="J335" s="4">
        <v>56206</v>
      </c>
      <c r="K335" s="4">
        <f t="shared" si="5"/>
        <v>5620.6</v>
      </c>
      <c r="L335" s="4" t="s">
        <v>61</v>
      </c>
      <c r="M335" s="4" t="s">
        <v>54</v>
      </c>
      <c r="N33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36" spans="1:14">
      <c r="A336" s="6">
        <v>10335</v>
      </c>
      <c r="B336" s="5">
        <v>45478</v>
      </c>
      <c r="C336" s="4" t="s">
        <v>48</v>
      </c>
      <c r="D336" s="4" t="s">
        <v>41</v>
      </c>
      <c r="E336" s="4" t="s">
        <v>21</v>
      </c>
      <c r="F336" s="4" t="s">
        <v>52</v>
      </c>
      <c r="G336" s="4">
        <v>2</v>
      </c>
      <c r="H336" s="4">
        <v>12944</v>
      </c>
      <c r="I336" s="4">
        <v>0.05</v>
      </c>
      <c r="J336" s="4">
        <v>25888</v>
      </c>
      <c r="K336" s="4">
        <f t="shared" si="5"/>
        <v>7766.4</v>
      </c>
      <c r="L336" s="4" t="s">
        <v>53</v>
      </c>
      <c r="M336" s="4" t="s">
        <v>54</v>
      </c>
      <c r="N33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37" spans="1:14">
      <c r="A337" s="6">
        <v>10336</v>
      </c>
      <c r="B337" s="5">
        <v>45545</v>
      </c>
      <c r="C337" s="4" t="s">
        <v>43</v>
      </c>
      <c r="D337" s="4" t="s">
        <v>32</v>
      </c>
      <c r="E337" s="4" t="s">
        <v>16</v>
      </c>
      <c r="F337" s="4" t="s">
        <v>17</v>
      </c>
      <c r="G337" s="4">
        <v>2</v>
      </c>
      <c r="H337" s="4">
        <v>11503</v>
      </c>
      <c r="I337" s="4">
        <v>0.01</v>
      </c>
      <c r="J337" s="4">
        <v>23006</v>
      </c>
      <c r="K337" s="4">
        <f t="shared" si="5"/>
        <v>4601.2</v>
      </c>
      <c r="L337" s="4" t="s">
        <v>55</v>
      </c>
      <c r="M337" s="4" t="s">
        <v>54</v>
      </c>
      <c r="N33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38" spans="1:14">
      <c r="A338" s="6">
        <v>10337</v>
      </c>
      <c r="B338" s="5">
        <v>45391</v>
      </c>
      <c r="C338" s="4" t="s">
        <v>31</v>
      </c>
      <c r="D338" s="4" t="s">
        <v>38</v>
      </c>
      <c r="E338" s="4" t="s">
        <v>27</v>
      </c>
      <c r="F338" s="4" t="s">
        <v>28</v>
      </c>
      <c r="G338" s="4">
        <v>5</v>
      </c>
      <c r="H338" s="4">
        <v>21620</v>
      </c>
      <c r="I338" s="4">
        <v>0.05</v>
      </c>
      <c r="J338" s="4">
        <v>108100</v>
      </c>
      <c r="K338" s="4">
        <f t="shared" si="5"/>
        <v>10810</v>
      </c>
      <c r="L338" s="4" t="s">
        <v>37</v>
      </c>
      <c r="M338" s="4" t="s">
        <v>19</v>
      </c>
      <c r="N33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39" spans="1:14">
      <c r="A339" s="6">
        <v>10338</v>
      </c>
      <c r="B339" s="5">
        <v>45525</v>
      </c>
      <c r="C339" s="4" t="s">
        <v>25</v>
      </c>
      <c r="D339" s="4" t="s">
        <v>44</v>
      </c>
      <c r="E339" s="4" t="s">
        <v>16</v>
      </c>
      <c r="F339" s="4" t="s">
        <v>65</v>
      </c>
      <c r="G339" s="4">
        <v>3</v>
      </c>
      <c r="H339" s="4">
        <v>11433</v>
      </c>
      <c r="I339" s="4">
        <v>0.02</v>
      </c>
      <c r="J339" s="4">
        <v>34299</v>
      </c>
      <c r="K339" s="4">
        <f t="shared" si="5"/>
        <v>6859.8</v>
      </c>
      <c r="L339" s="4" t="s">
        <v>61</v>
      </c>
      <c r="M339" s="4" t="s">
        <v>54</v>
      </c>
      <c r="N33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40" spans="1:14">
      <c r="A340" s="6">
        <v>10339</v>
      </c>
      <c r="B340" s="5">
        <v>45405</v>
      </c>
      <c r="C340" s="4" t="s">
        <v>48</v>
      </c>
      <c r="D340" s="4" t="s">
        <v>44</v>
      </c>
      <c r="E340" s="4" t="s">
        <v>16</v>
      </c>
      <c r="F340" s="4" t="s">
        <v>17</v>
      </c>
      <c r="G340" s="4">
        <v>6</v>
      </c>
      <c r="H340" s="4">
        <v>2098</v>
      </c>
      <c r="I340" s="4">
        <v>0.02</v>
      </c>
      <c r="J340" s="4">
        <v>12588</v>
      </c>
      <c r="K340" s="4">
        <f t="shared" si="5"/>
        <v>2517.6000000000004</v>
      </c>
      <c r="L340" s="4" t="s">
        <v>37</v>
      </c>
      <c r="M340" s="4" t="s">
        <v>19</v>
      </c>
      <c r="N34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41" spans="1:14">
      <c r="A341" s="6">
        <v>10340</v>
      </c>
      <c r="B341" s="5">
        <v>45525</v>
      </c>
      <c r="C341" s="4" t="s">
        <v>14</v>
      </c>
      <c r="D341" s="4" t="s">
        <v>32</v>
      </c>
      <c r="E341" s="4" t="s">
        <v>33</v>
      </c>
      <c r="F341" s="4" t="s">
        <v>59</v>
      </c>
      <c r="G341" s="4">
        <v>6</v>
      </c>
      <c r="H341" s="4">
        <v>23031</v>
      </c>
      <c r="I341" s="4">
        <v>0.01</v>
      </c>
      <c r="J341" s="4">
        <v>138186</v>
      </c>
      <c r="K341" s="4">
        <f t="shared" si="5"/>
        <v>34546.5</v>
      </c>
      <c r="L341" s="4" t="s">
        <v>61</v>
      </c>
      <c r="M341" s="4" t="s">
        <v>54</v>
      </c>
      <c r="N34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42" spans="1:14">
      <c r="A342" s="6">
        <v>10341</v>
      </c>
      <c r="B342" s="5">
        <v>45538</v>
      </c>
      <c r="C342" s="4" t="s">
        <v>31</v>
      </c>
      <c r="D342" s="4" t="s">
        <v>26</v>
      </c>
      <c r="E342" s="4" t="s">
        <v>21</v>
      </c>
      <c r="F342" s="4" t="s">
        <v>52</v>
      </c>
      <c r="G342" s="4">
        <v>2</v>
      </c>
      <c r="H342" s="4">
        <v>46505</v>
      </c>
      <c r="I342" s="4">
        <v>0.01</v>
      </c>
      <c r="J342" s="4">
        <v>93010</v>
      </c>
      <c r="K342" s="4">
        <f t="shared" si="5"/>
        <v>27903</v>
      </c>
      <c r="L342" s="4" t="s">
        <v>55</v>
      </c>
      <c r="M342" s="4" t="s">
        <v>54</v>
      </c>
      <c r="N34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43" spans="1:14">
      <c r="A343" s="6">
        <v>10342</v>
      </c>
      <c r="B343" s="5">
        <v>45609</v>
      </c>
      <c r="C343" s="4" t="s">
        <v>43</v>
      </c>
      <c r="D343" s="4" t="s">
        <v>51</v>
      </c>
      <c r="E343" s="4" t="s">
        <v>45</v>
      </c>
      <c r="F343" s="4" t="s">
        <v>60</v>
      </c>
      <c r="G343" s="4">
        <v>7</v>
      </c>
      <c r="H343" s="4">
        <v>5727</v>
      </c>
      <c r="I343" s="4">
        <v>0.01</v>
      </c>
      <c r="J343" s="4">
        <v>40089</v>
      </c>
      <c r="K343" s="4">
        <f t="shared" si="5"/>
        <v>14031.15</v>
      </c>
      <c r="L343" s="4" t="s">
        <v>47</v>
      </c>
      <c r="M343" s="4" t="s">
        <v>24</v>
      </c>
      <c r="N34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44" spans="1:14">
      <c r="A344" s="6">
        <v>10343</v>
      </c>
      <c r="B344" s="5">
        <v>45544</v>
      </c>
      <c r="C344" s="4" t="s">
        <v>35</v>
      </c>
      <c r="D344" s="4" t="s">
        <v>63</v>
      </c>
      <c r="E344" s="4" t="s">
        <v>33</v>
      </c>
      <c r="F344" s="4" t="s">
        <v>66</v>
      </c>
      <c r="G344" s="4">
        <v>1</v>
      </c>
      <c r="H344" s="4">
        <v>16592</v>
      </c>
      <c r="I344" s="4">
        <v>0.01</v>
      </c>
      <c r="J344" s="4">
        <v>16592</v>
      </c>
      <c r="K344" s="4">
        <f t="shared" si="5"/>
        <v>4148</v>
      </c>
      <c r="L344" s="4" t="s">
        <v>55</v>
      </c>
      <c r="M344" s="4" t="s">
        <v>54</v>
      </c>
      <c r="N34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45" spans="1:14">
      <c r="A345" s="6">
        <v>10344</v>
      </c>
      <c r="B345" s="5">
        <v>45487</v>
      </c>
      <c r="C345" s="4" t="s">
        <v>43</v>
      </c>
      <c r="D345" s="4" t="s">
        <v>38</v>
      </c>
      <c r="E345" s="4" t="s">
        <v>27</v>
      </c>
      <c r="F345" s="4" t="s">
        <v>28</v>
      </c>
      <c r="G345" s="4">
        <v>9</v>
      </c>
      <c r="H345" s="4">
        <v>48829</v>
      </c>
      <c r="I345" s="4">
        <v>0.02</v>
      </c>
      <c r="J345" s="4">
        <v>439461</v>
      </c>
      <c r="K345" s="4">
        <f t="shared" si="5"/>
        <v>43946.100000000006</v>
      </c>
      <c r="L345" s="4" t="s">
        <v>53</v>
      </c>
      <c r="M345" s="4" t="s">
        <v>54</v>
      </c>
      <c r="N34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46" spans="1:14">
      <c r="A346" s="6">
        <v>10345</v>
      </c>
      <c r="B346" s="5">
        <v>45428</v>
      </c>
      <c r="C346" s="4" t="s">
        <v>31</v>
      </c>
      <c r="D346" s="4" t="s">
        <v>51</v>
      </c>
      <c r="E346" s="4" t="s">
        <v>21</v>
      </c>
      <c r="F346" s="4" t="s">
        <v>52</v>
      </c>
      <c r="G346" s="4">
        <v>6</v>
      </c>
      <c r="H346" s="4">
        <v>26235</v>
      </c>
      <c r="I346" s="4">
        <v>0.05</v>
      </c>
      <c r="J346" s="4">
        <v>157410</v>
      </c>
      <c r="K346" s="4">
        <f t="shared" si="5"/>
        <v>47223</v>
      </c>
      <c r="L346" s="4" t="s">
        <v>50</v>
      </c>
      <c r="M346" s="4" t="s">
        <v>19</v>
      </c>
      <c r="N34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47" spans="1:14">
      <c r="A347" s="6">
        <v>10346</v>
      </c>
      <c r="B347" s="5">
        <v>45651</v>
      </c>
      <c r="C347" s="4" t="s">
        <v>31</v>
      </c>
      <c r="D347" s="4" t="s">
        <v>41</v>
      </c>
      <c r="E347" s="4" t="s">
        <v>21</v>
      </c>
      <c r="F347" s="4" t="s">
        <v>52</v>
      </c>
      <c r="G347" s="4">
        <v>8</v>
      </c>
      <c r="H347" s="4">
        <v>32566</v>
      </c>
      <c r="I347" s="4">
        <v>0.01</v>
      </c>
      <c r="J347" s="4">
        <v>260528</v>
      </c>
      <c r="K347" s="4">
        <f t="shared" si="5"/>
        <v>78158.399999999994</v>
      </c>
      <c r="L347" s="4" t="s">
        <v>23</v>
      </c>
      <c r="M347" s="4" t="s">
        <v>24</v>
      </c>
      <c r="N34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48" spans="1:14">
      <c r="A348" s="6">
        <v>10347</v>
      </c>
      <c r="B348" s="5">
        <v>45435</v>
      </c>
      <c r="C348" s="4" t="s">
        <v>14</v>
      </c>
      <c r="D348" s="4" t="s">
        <v>63</v>
      </c>
      <c r="E348" s="4" t="s">
        <v>33</v>
      </c>
      <c r="F348" s="4" t="s">
        <v>66</v>
      </c>
      <c r="G348" s="4">
        <v>2</v>
      </c>
      <c r="H348" s="4">
        <v>38713</v>
      </c>
      <c r="I348" s="4">
        <v>0.05</v>
      </c>
      <c r="J348" s="4">
        <v>77426</v>
      </c>
      <c r="K348" s="4">
        <f t="shared" si="5"/>
        <v>19356.5</v>
      </c>
      <c r="L348" s="4" t="s">
        <v>50</v>
      </c>
      <c r="M348" s="4" t="s">
        <v>19</v>
      </c>
      <c r="N34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49" spans="1:14">
      <c r="A349" s="6">
        <v>10348</v>
      </c>
      <c r="B349" s="5">
        <v>45642</v>
      </c>
      <c r="C349" s="4" t="s">
        <v>25</v>
      </c>
      <c r="D349" s="4" t="s">
        <v>15</v>
      </c>
      <c r="E349" s="4" t="s">
        <v>16</v>
      </c>
      <c r="F349" s="4" t="s">
        <v>49</v>
      </c>
      <c r="G349" s="4">
        <v>2</v>
      </c>
      <c r="H349" s="4">
        <v>4167</v>
      </c>
      <c r="I349" s="4">
        <v>0.01</v>
      </c>
      <c r="J349" s="4">
        <v>8334</v>
      </c>
      <c r="K349" s="4">
        <f t="shared" si="5"/>
        <v>1666.8000000000002</v>
      </c>
      <c r="L349" s="4" t="s">
        <v>23</v>
      </c>
      <c r="M349" s="4" t="s">
        <v>24</v>
      </c>
      <c r="N34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50" spans="1:14">
      <c r="A350" s="6">
        <v>10349</v>
      </c>
      <c r="B350" s="5">
        <v>45511</v>
      </c>
      <c r="C350" s="4" t="s">
        <v>48</v>
      </c>
      <c r="D350" s="4" t="s">
        <v>41</v>
      </c>
      <c r="E350" s="4" t="s">
        <v>21</v>
      </c>
      <c r="F350" s="4" t="s">
        <v>22</v>
      </c>
      <c r="G350" s="4">
        <v>9</v>
      </c>
      <c r="H350" s="4">
        <v>6276</v>
      </c>
      <c r="I350" s="4">
        <v>0.05</v>
      </c>
      <c r="J350" s="4">
        <v>56484</v>
      </c>
      <c r="K350" s="4">
        <f t="shared" si="5"/>
        <v>16945.2</v>
      </c>
      <c r="L350" s="4" t="s">
        <v>61</v>
      </c>
      <c r="M350" s="4" t="s">
        <v>54</v>
      </c>
      <c r="N35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51" spans="1:14">
      <c r="A351" s="6">
        <v>10350</v>
      </c>
      <c r="B351" s="5">
        <v>45630</v>
      </c>
      <c r="C351" s="4" t="s">
        <v>25</v>
      </c>
      <c r="D351" s="4" t="s">
        <v>36</v>
      </c>
      <c r="E351" s="4" t="s">
        <v>27</v>
      </c>
      <c r="F351" s="4" t="s">
        <v>64</v>
      </c>
      <c r="G351" s="4">
        <v>4</v>
      </c>
      <c r="H351" s="4">
        <v>32331</v>
      </c>
      <c r="I351" s="4">
        <v>0.01</v>
      </c>
      <c r="J351" s="4">
        <v>129324</v>
      </c>
      <c r="K351" s="4">
        <f t="shared" si="5"/>
        <v>12932.400000000001</v>
      </c>
      <c r="L351" s="4" t="s">
        <v>23</v>
      </c>
      <c r="M351" s="4" t="s">
        <v>24</v>
      </c>
      <c r="N35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52" spans="1:14">
      <c r="A352" s="6">
        <v>10351</v>
      </c>
      <c r="B352" s="5">
        <v>45522</v>
      </c>
      <c r="C352" s="4" t="s">
        <v>48</v>
      </c>
      <c r="D352" s="4" t="s">
        <v>51</v>
      </c>
      <c r="E352" s="4" t="s">
        <v>27</v>
      </c>
      <c r="F352" s="4" t="s">
        <v>28</v>
      </c>
      <c r="G352" s="4">
        <v>3</v>
      </c>
      <c r="H352" s="4">
        <v>45452</v>
      </c>
      <c r="I352" s="4">
        <v>0</v>
      </c>
      <c r="J352" s="4">
        <v>136356</v>
      </c>
      <c r="K352" s="4">
        <f t="shared" si="5"/>
        <v>13635.6</v>
      </c>
      <c r="L352" s="4" t="s">
        <v>61</v>
      </c>
      <c r="M352" s="4" t="s">
        <v>54</v>
      </c>
      <c r="N35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53" spans="1:14">
      <c r="A353" s="6">
        <v>10352</v>
      </c>
      <c r="B353" s="5">
        <v>45338</v>
      </c>
      <c r="C353" s="4" t="s">
        <v>25</v>
      </c>
      <c r="D353" s="4" t="s">
        <v>38</v>
      </c>
      <c r="E353" s="4" t="s">
        <v>21</v>
      </c>
      <c r="F353" s="4" t="s">
        <v>22</v>
      </c>
      <c r="G353" s="4">
        <v>8</v>
      </c>
      <c r="H353" s="4">
        <v>24478</v>
      </c>
      <c r="I353" s="4">
        <v>0.01</v>
      </c>
      <c r="J353" s="4">
        <v>195824</v>
      </c>
      <c r="K353" s="4">
        <f t="shared" si="5"/>
        <v>58747.199999999997</v>
      </c>
      <c r="L353" s="4" t="s">
        <v>29</v>
      </c>
      <c r="M353" s="4" t="s">
        <v>30</v>
      </c>
      <c r="N35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54" spans="1:14">
      <c r="A354" s="6">
        <v>10353</v>
      </c>
      <c r="B354" s="5">
        <v>45568</v>
      </c>
      <c r="C354" s="4" t="s">
        <v>43</v>
      </c>
      <c r="D354" s="4" t="s">
        <v>41</v>
      </c>
      <c r="E354" s="4" t="s">
        <v>33</v>
      </c>
      <c r="F354" s="4" t="s">
        <v>59</v>
      </c>
      <c r="G354" s="4">
        <v>1</v>
      </c>
      <c r="H354" s="4">
        <v>25427</v>
      </c>
      <c r="I354" s="4">
        <v>0.02</v>
      </c>
      <c r="J354" s="4">
        <v>25427</v>
      </c>
      <c r="K354" s="4">
        <f t="shared" si="5"/>
        <v>6356.75</v>
      </c>
      <c r="L354" s="4" t="s">
        <v>58</v>
      </c>
      <c r="M354" s="4" t="s">
        <v>24</v>
      </c>
      <c r="N35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55" spans="1:14">
      <c r="A355" s="6">
        <v>10354</v>
      </c>
      <c r="B355" s="5">
        <v>45409</v>
      </c>
      <c r="C355" s="4" t="s">
        <v>25</v>
      </c>
      <c r="D355" s="4" t="s">
        <v>41</v>
      </c>
      <c r="E355" s="4" t="s">
        <v>16</v>
      </c>
      <c r="F355" s="4" t="s">
        <v>17</v>
      </c>
      <c r="G355" s="4">
        <v>4</v>
      </c>
      <c r="H355" s="4">
        <v>40890</v>
      </c>
      <c r="I355" s="4">
        <v>0.02</v>
      </c>
      <c r="J355" s="4">
        <v>163560</v>
      </c>
      <c r="K355" s="4">
        <f t="shared" si="5"/>
        <v>32712</v>
      </c>
      <c r="L355" s="4" t="s">
        <v>37</v>
      </c>
      <c r="M355" s="4" t="s">
        <v>19</v>
      </c>
      <c r="N35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56" spans="1:14">
      <c r="A356" s="6">
        <v>10355</v>
      </c>
      <c r="B356" s="5">
        <v>45485</v>
      </c>
      <c r="C356" s="4" t="s">
        <v>35</v>
      </c>
      <c r="D356" s="4" t="s">
        <v>26</v>
      </c>
      <c r="E356" s="4" t="s">
        <v>21</v>
      </c>
      <c r="F356" s="4" t="s">
        <v>22</v>
      </c>
      <c r="G356" s="4">
        <v>7</v>
      </c>
      <c r="H356" s="4">
        <v>19971</v>
      </c>
      <c r="I356" s="4">
        <v>0.05</v>
      </c>
      <c r="J356" s="4">
        <v>139797</v>
      </c>
      <c r="K356" s="4">
        <f t="shared" si="5"/>
        <v>41939.1</v>
      </c>
      <c r="L356" s="4" t="s">
        <v>53</v>
      </c>
      <c r="M356" s="4" t="s">
        <v>54</v>
      </c>
      <c r="N35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57" spans="1:14">
      <c r="A357" s="6">
        <v>10356</v>
      </c>
      <c r="B357" s="5">
        <v>45514</v>
      </c>
      <c r="C357" s="4" t="s">
        <v>43</v>
      </c>
      <c r="D357" s="4" t="s">
        <v>38</v>
      </c>
      <c r="E357" s="4" t="s">
        <v>21</v>
      </c>
      <c r="F357" s="4" t="s">
        <v>52</v>
      </c>
      <c r="G357" s="4">
        <v>7</v>
      </c>
      <c r="H357" s="4">
        <v>21456</v>
      </c>
      <c r="I357" s="4">
        <v>0</v>
      </c>
      <c r="J357" s="4">
        <v>150192</v>
      </c>
      <c r="K357" s="4">
        <f t="shared" si="5"/>
        <v>45057.599999999999</v>
      </c>
      <c r="L357" s="4" t="s">
        <v>61</v>
      </c>
      <c r="M357" s="4" t="s">
        <v>54</v>
      </c>
      <c r="N35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58" spans="1:14">
      <c r="A358" s="6">
        <v>10357</v>
      </c>
      <c r="B358" s="5">
        <v>45477</v>
      </c>
      <c r="C358" s="4" t="s">
        <v>14</v>
      </c>
      <c r="D358" s="4" t="s">
        <v>38</v>
      </c>
      <c r="E358" s="4" t="s">
        <v>45</v>
      </c>
      <c r="F358" s="4" t="s">
        <v>46</v>
      </c>
      <c r="G358" s="4">
        <v>9</v>
      </c>
      <c r="H358" s="4">
        <v>31154</v>
      </c>
      <c r="I358" s="4">
        <v>0.01</v>
      </c>
      <c r="J358" s="4">
        <v>280386</v>
      </c>
      <c r="K358" s="4">
        <f t="shared" si="5"/>
        <v>98135.099999999991</v>
      </c>
      <c r="L358" s="4" t="s">
        <v>53</v>
      </c>
      <c r="M358" s="4" t="s">
        <v>54</v>
      </c>
      <c r="N35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59" spans="1:14">
      <c r="A359" s="6">
        <v>10358</v>
      </c>
      <c r="B359" s="5">
        <v>45420</v>
      </c>
      <c r="C359" s="4" t="s">
        <v>35</v>
      </c>
      <c r="D359" s="4" t="s">
        <v>36</v>
      </c>
      <c r="E359" s="4" t="s">
        <v>33</v>
      </c>
      <c r="F359" s="4" t="s">
        <v>66</v>
      </c>
      <c r="G359" s="4">
        <v>9</v>
      </c>
      <c r="H359" s="4">
        <v>19135</v>
      </c>
      <c r="I359" s="4">
        <v>0.05</v>
      </c>
      <c r="J359" s="4">
        <v>172215</v>
      </c>
      <c r="K359" s="4">
        <f t="shared" si="5"/>
        <v>43053.75</v>
      </c>
      <c r="L359" s="4" t="s">
        <v>50</v>
      </c>
      <c r="M359" s="4" t="s">
        <v>19</v>
      </c>
      <c r="N35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60" spans="1:14">
      <c r="A360" s="6">
        <v>10359</v>
      </c>
      <c r="B360" s="5">
        <v>45595</v>
      </c>
      <c r="C360" s="4" t="s">
        <v>31</v>
      </c>
      <c r="D360" s="4" t="s">
        <v>41</v>
      </c>
      <c r="E360" s="4" t="s">
        <v>27</v>
      </c>
      <c r="F360" s="4" t="s">
        <v>62</v>
      </c>
      <c r="G360" s="4">
        <v>8</v>
      </c>
      <c r="H360" s="4">
        <v>9547</v>
      </c>
      <c r="I360" s="4">
        <v>0</v>
      </c>
      <c r="J360" s="4">
        <v>76376</v>
      </c>
      <c r="K360" s="4">
        <f t="shared" si="5"/>
        <v>7637.6</v>
      </c>
      <c r="L360" s="4" t="s">
        <v>58</v>
      </c>
      <c r="M360" s="4" t="s">
        <v>24</v>
      </c>
      <c r="N36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61" spans="1:14">
      <c r="A361" s="6">
        <v>10360</v>
      </c>
      <c r="B361" s="5">
        <v>45492</v>
      </c>
      <c r="C361" s="4" t="s">
        <v>25</v>
      </c>
      <c r="D361" s="4" t="s">
        <v>15</v>
      </c>
      <c r="E361" s="4" t="s">
        <v>27</v>
      </c>
      <c r="F361" s="4" t="s">
        <v>28</v>
      </c>
      <c r="G361" s="4">
        <v>6</v>
      </c>
      <c r="H361" s="4">
        <v>11293</v>
      </c>
      <c r="I361" s="4">
        <v>0.01</v>
      </c>
      <c r="J361" s="4">
        <v>67758</v>
      </c>
      <c r="K361" s="4">
        <f t="shared" si="5"/>
        <v>6775.8</v>
      </c>
      <c r="L361" s="4" t="s">
        <v>53</v>
      </c>
      <c r="M361" s="4" t="s">
        <v>54</v>
      </c>
      <c r="N36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62" spans="1:14">
      <c r="A362" s="6">
        <v>10361</v>
      </c>
      <c r="B362" s="5">
        <v>45426</v>
      </c>
      <c r="C362" s="4" t="s">
        <v>48</v>
      </c>
      <c r="D362" s="4" t="s">
        <v>41</v>
      </c>
      <c r="E362" s="4" t="s">
        <v>33</v>
      </c>
      <c r="F362" s="4" t="s">
        <v>34</v>
      </c>
      <c r="G362" s="4">
        <v>6</v>
      </c>
      <c r="H362" s="4">
        <v>19199</v>
      </c>
      <c r="I362" s="4">
        <v>0.01</v>
      </c>
      <c r="J362" s="4">
        <v>115194</v>
      </c>
      <c r="K362" s="4">
        <f t="shared" si="5"/>
        <v>28798.5</v>
      </c>
      <c r="L362" s="4" t="s">
        <v>50</v>
      </c>
      <c r="M362" s="4" t="s">
        <v>19</v>
      </c>
      <c r="N36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63" spans="1:14">
      <c r="A363" s="6">
        <v>10362</v>
      </c>
      <c r="B363" s="5">
        <v>45354</v>
      </c>
      <c r="C363" s="4" t="s">
        <v>25</v>
      </c>
      <c r="D363" s="4" t="s">
        <v>32</v>
      </c>
      <c r="E363" s="4" t="s">
        <v>21</v>
      </c>
      <c r="F363" s="4" t="s">
        <v>56</v>
      </c>
      <c r="G363" s="4">
        <v>6</v>
      </c>
      <c r="H363" s="4">
        <v>35832</v>
      </c>
      <c r="I363" s="4">
        <v>0.05</v>
      </c>
      <c r="J363" s="4">
        <v>214992</v>
      </c>
      <c r="K363" s="4">
        <f t="shared" si="5"/>
        <v>64497.599999999999</v>
      </c>
      <c r="L363" s="4" t="s">
        <v>42</v>
      </c>
      <c r="M363" s="4" t="s">
        <v>30</v>
      </c>
      <c r="N36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64" spans="1:14">
      <c r="A364" s="6">
        <v>10363</v>
      </c>
      <c r="B364" s="5">
        <v>45366</v>
      </c>
      <c r="C364" s="4" t="s">
        <v>25</v>
      </c>
      <c r="D364" s="4" t="s">
        <v>44</v>
      </c>
      <c r="E364" s="4" t="s">
        <v>33</v>
      </c>
      <c r="F364" s="4" t="s">
        <v>66</v>
      </c>
      <c r="G364" s="4">
        <v>6</v>
      </c>
      <c r="H364" s="4">
        <v>45864</v>
      </c>
      <c r="I364" s="4">
        <v>0.05</v>
      </c>
      <c r="J364" s="4">
        <v>275184</v>
      </c>
      <c r="K364" s="4">
        <f t="shared" si="5"/>
        <v>68796</v>
      </c>
      <c r="L364" s="4" t="s">
        <v>42</v>
      </c>
      <c r="M364" s="4" t="s">
        <v>30</v>
      </c>
      <c r="N36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65" spans="1:14">
      <c r="A365" s="6">
        <v>10364</v>
      </c>
      <c r="B365" s="5">
        <v>45534</v>
      </c>
      <c r="C365" s="4" t="s">
        <v>31</v>
      </c>
      <c r="D365" s="4" t="s">
        <v>26</v>
      </c>
      <c r="E365" s="4" t="s">
        <v>16</v>
      </c>
      <c r="F365" s="4" t="s">
        <v>17</v>
      </c>
      <c r="G365" s="4">
        <v>5</v>
      </c>
      <c r="H365" s="4">
        <v>6818</v>
      </c>
      <c r="I365" s="4">
        <v>0.02</v>
      </c>
      <c r="J365" s="4">
        <v>34090</v>
      </c>
      <c r="K365" s="4">
        <f t="shared" si="5"/>
        <v>6818</v>
      </c>
      <c r="L365" s="4" t="s">
        <v>61</v>
      </c>
      <c r="M365" s="4" t="s">
        <v>54</v>
      </c>
      <c r="N36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66" spans="1:14">
      <c r="A366" s="6">
        <v>10365</v>
      </c>
      <c r="B366" s="5">
        <v>45641</v>
      </c>
      <c r="C366" s="4" t="s">
        <v>25</v>
      </c>
      <c r="D366" s="4" t="s">
        <v>63</v>
      </c>
      <c r="E366" s="4" t="s">
        <v>33</v>
      </c>
      <c r="F366" s="4" t="s">
        <v>59</v>
      </c>
      <c r="G366" s="4">
        <v>7</v>
      </c>
      <c r="H366" s="4">
        <v>21093</v>
      </c>
      <c r="I366" s="4">
        <v>0.05</v>
      </c>
      <c r="J366" s="4">
        <v>147651</v>
      </c>
      <c r="K366" s="4">
        <f t="shared" si="5"/>
        <v>36912.75</v>
      </c>
      <c r="L366" s="4" t="s">
        <v>23</v>
      </c>
      <c r="M366" s="4" t="s">
        <v>24</v>
      </c>
      <c r="N36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67" spans="1:14">
      <c r="A367" s="6">
        <v>10366</v>
      </c>
      <c r="B367" s="5">
        <v>45304</v>
      </c>
      <c r="C367" s="4" t="s">
        <v>31</v>
      </c>
      <c r="D367" s="4" t="s">
        <v>32</v>
      </c>
      <c r="E367" s="4" t="s">
        <v>33</v>
      </c>
      <c r="F367" s="4" t="s">
        <v>59</v>
      </c>
      <c r="G367" s="4">
        <v>9</v>
      </c>
      <c r="H367" s="4">
        <v>5426</v>
      </c>
      <c r="I367" s="4">
        <v>0.05</v>
      </c>
      <c r="J367" s="4">
        <v>48834</v>
      </c>
      <c r="K367" s="4">
        <f t="shared" si="5"/>
        <v>12208.5</v>
      </c>
      <c r="L367" s="4" t="s">
        <v>67</v>
      </c>
      <c r="M367" s="4" t="s">
        <v>30</v>
      </c>
      <c r="N36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68" spans="1:14">
      <c r="A368" s="6">
        <v>10367</v>
      </c>
      <c r="B368" s="5">
        <v>45631</v>
      </c>
      <c r="C368" s="4" t="s">
        <v>43</v>
      </c>
      <c r="D368" s="4" t="s">
        <v>44</v>
      </c>
      <c r="E368" s="4" t="s">
        <v>33</v>
      </c>
      <c r="F368" s="4" t="s">
        <v>34</v>
      </c>
      <c r="G368" s="4">
        <v>8</v>
      </c>
      <c r="H368" s="4">
        <v>25770</v>
      </c>
      <c r="I368" s="4">
        <v>0</v>
      </c>
      <c r="J368" s="4">
        <v>206160</v>
      </c>
      <c r="K368" s="4">
        <f t="shared" si="5"/>
        <v>51540</v>
      </c>
      <c r="L368" s="4" t="s">
        <v>23</v>
      </c>
      <c r="M368" s="4" t="s">
        <v>24</v>
      </c>
      <c r="N36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69" spans="1:14">
      <c r="A369" s="6">
        <v>10368</v>
      </c>
      <c r="B369" s="5">
        <v>45377</v>
      </c>
      <c r="C369" s="4" t="s">
        <v>31</v>
      </c>
      <c r="D369" s="4" t="s">
        <v>63</v>
      </c>
      <c r="E369" s="4" t="s">
        <v>21</v>
      </c>
      <c r="F369" s="4" t="s">
        <v>52</v>
      </c>
      <c r="G369" s="4">
        <v>4</v>
      </c>
      <c r="H369" s="4">
        <v>47681</v>
      </c>
      <c r="I369" s="4">
        <v>0.05</v>
      </c>
      <c r="J369" s="4">
        <v>190724</v>
      </c>
      <c r="K369" s="4">
        <f t="shared" si="5"/>
        <v>57217.2</v>
      </c>
      <c r="L369" s="4" t="s">
        <v>42</v>
      </c>
      <c r="M369" s="4" t="s">
        <v>30</v>
      </c>
      <c r="N36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70" spans="1:14">
      <c r="A370" s="6">
        <v>10369</v>
      </c>
      <c r="B370" s="5">
        <v>45610</v>
      </c>
      <c r="C370" s="4" t="s">
        <v>31</v>
      </c>
      <c r="D370" s="4" t="s">
        <v>26</v>
      </c>
      <c r="E370" s="4" t="s">
        <v>27</v>
      </c>
      <c r="F370" s="4" t="s">
        <v>64</v>
      </c>
      <c r="G370" s="4">
        <v>9</v>
      </c>
      <c r="H370" s="4">
        <v>43512</v>
      </c>
      <c r="I370" s="4">
        <v>0.02</v>
      </c>
      <c r="J370" s="4">
        <v>391608</v>
      </c>
      <c r="K370" s="4">
        <f t="shared" si="5"/>
        <v>39160.800000000003</v>
      </c>
      <c r="L370" s="4" t="s">
        <v>47</v>
      </c>
      <c r="M370" s="4" t="s">
        <v>24</v>
      </c>
      <c r="N37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71" spans="1:14">
      <c r="A371" s="6">
        <v>10370</v>
      </c>
      <c r="B371" s="5">
        <v>45541</v>
      </c>
      <c r="C371" s="4" t="s">
        <v>14</v>
      </c>
      <c r="D371" s="4" t="s">
        <v>38</v>
      </c>
      <c r="E371" s="4" t="s">
        <v>21</v>
      </c>
      <c r="F371" s="4" t="s">
        <v>22</v>
      </c>
      <c r="G371" s="4">
        <v>3</v>
      </c>
      <c r="H371" s="4">
        <v>23794</v>
      </c>
      <c r="I371" s="4">
        <v>0</v>
      </c>
      <c r="J371" s="4">
        <v>71382</v>
      </c>
      <c r="K371" s="4">
        <f t="shared" si="5"/>
        <v>21414.6</v>
      </c>
      <c r="L371" s="4" t="s">
        <v>55</v>
      </c>
      <c r="M371" s="4" t="s">
        <v>54</v>
      </c>
      <c r="N37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72" spans="1:14">
      <c r="A372" s="6">
        <v>10371</v>
      </c>
      <c r="B372" s="5">
        <v>45563</v>
      </c>
      <c r="C372" s="4" t="s">
        <v>31</v>
      </c>
      <c r="D372" s="4" t="s">
        <v>15</v>
      </c>
      <c r="E372" s="4" t="s">
        <v>45</v>
      </c>
      <c r="F372" s="4" t="s">
        <v>46</v>
      </c>
      <c r="G372" s="4">
        <v>1</v>
      </c>
      <c r="H372" s="4">
        <v>33430</v>
      </c>
      <c r="I372" s="4">
        <v>0.05</v>
      </c>
      <c r="J372" s="4">
        <v>33430</v>
      </c>
      <c r="K372" s="4">
        <f t="shared" si="5"/>
        <v>11700.5</v>
      </c>
      <c r="L372" s="4" t="s">
        <v>55</v>
      </c>
      <c r="M372" s="4" t="s">
        <v>54</v>
      </c>
      <c r="N37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73" spans="1:14">
      <c r="A373" s="6">
        <v>10372</v>
      </c>
      <c r="B373" s="5">
        <v>45344</v>
      </c>
      <c r="C373" s="4" t="s">
        <v>25</v>
      </c>
      <c r="D373" s="4" t="s">
        <v>36</v>
      </c>
      <c r="E373" s="4" t="s">
        <v>45</v>
      </c>
      <c r="F373" s="4" t="s">
        <v>57</v>
      </c>
      <c r="G373" s="4">
        <v>1</v>
      </c>
      <c r="H373" s="4">
        <v>17241</v>
      </c>
      <c r="I373" s="4">
        <v>0</v>
      </c>
      <c r="J373" s="4">
        <v>17241</v>
      </c>
      <c r="K373" s="4">
        <f t="shared" si="5"/>
        <v>6034.3499999999995</v>
      </c>
      <c r="L373" s="4" t="s">
        <v>29</v>
      </c>
      <c r="M373" s="4" t="s">
        <v>30</v>
      </c>
      <c r="N37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74" spans="1:14">
      <c r="A374" s="6">
        <v>10373</v>
      </c>
      <c r="B374" s="5">
        <v>45571</v>
      </c>
      <c r="C374" s="4" t="s">
        <v>25</v>
      </c>
      <c r="D374" s="4" t="s">
        <v>36</v>
      </c>
      <c r="E374" s="4" t="s">
        <v>27</v>
      </c>
      <c r="F374" s="4" t="s">
        <v>62</v>
      </c>
      <c r="G374" s="4">
        <v>6</v>
      </c>
      <c r="H374" s="4">
        <v>45769</v>
      </c>
      <c r="I374" s="4">
        <v>0.02</v>
      </c>
      <c r="J374" s="4">
        <v>274614</v>
      </c>
      <c r="K374" s="4">
        <f t="shared" si="5"/>
        <v>27461.4</v>
      </c>
      <c r="L374" s="4" t="s">
        <v>58</v>
      </c>
      <c r="M374" s="4" t="s">
        <v>24</v>
      </c>
      <c r="N37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75" spans="1:14">
      <c r="A375" s="6">
        <v>10374</v>
      </c>
      <c r="B375" s="5">
        <v>45575</v>
      </c>
      <c r="C375" s="4" t="s">
        <v>48</v>
      </c>
      <c r="D375" s="4" t="s">
        <v>41</v>
      </c>
      <c r="E375" s="4" t="s">
        <v>21</v>
      </c>
      <c r="F375" s="4" t="s">
        <v>22</v>
      </c>
      <c r="G375" s="4">
        <v>6</v>
      </c>
      <c r="H375" s="4">
        <v>45605</v>
      </c>
      <c r="I375" s="4">
        <v>0.01</v>
      </c>
      <c r="J375" s="4">
        <v>273630</v>
      </c>
      <c r="K375" s="4">
        <f t="shared" si="5"/>
        <v>82089</v>
      </c>
      <c r="L375" s="4" t="s">
        <v>58</v>
      </c>
      <c r="M375" s="4" t="s">
        <v>24</v>
      </c>
      <c r="N37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76" spans="1:14">
      <c r="A376" s="6">
        <v>10375</v>
      </c>
      <c r="B376" s="5">
        <v>45345</v>
      </c>
      <c r="C376" s="4" t="s">
        <v>35</v>
      </c>
      <c r="D376" s="4" t="s">
        <v>32</v>
      </c>
      <c r="E376" s="4" t="s">
        <v>21</v>
      </c>
      <c r="F376" s="4" t="s">
        <v>52</v>
      </c>
      <c r="G376" s="4">
        <v>6</v>
      </c>
      <c r="H376" s="4">
        <v>2116</v>
      </c>
      <c r="I376" s="4">
        <v>0.05</v>
      </c>
      <c r="J376" s="4">
        <v>12696</v>
      </c>
      <c r="K376" s="4">
        <f t="shared" si="5"/>
        <v>3808.7999999999997</v>
      </c>
      <c r="L376" s="4" t="s">
        <v>29</v>
      </c>
      <c r="M376" s="4" t="s">
        <v>30</v>
      </c>
      <c r="N37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77" spans="1:14">
      <c r="A377" s="6">
        <v>10376</v>
      </c>
      <c r="B377" s="5">
        <v>45438</v>
      </c>
      <c r="C377" s="4" t="s">
        <v>25</v>
      </c>
      <c r="D377" s="4" t="s">
        <v>36</v>
      </c>
      <c r="E377" s="4" t="s">
        <v>27</v>
      </c>
      <c r="F377" s="4" t="s">
        <v>28</v>
      </c>
      <c r="G377" s="4">
        <v>6</v>
      </c>
      <c r="H377" s="4">
        <v>29328</v>
      </c>
      <c r="I377" s="4">
        <v>0.05</v>
      </c>
      <c r="J377" s="4">
        <v>175968</v>
      </c>
      <c r="K377" s="4">
        <f t="shared" si="5"/>
        <v>17596.8</v>
      </c>
      <c r="L377" s="4" t="s">
        <v>50</v>
      </c>
      <c r="M377" s="4" t="s">
        <v>19</v>
      </c>
      <c r="N37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78" spans="1:14">
      <c r="A378" s="6">
        <v>10377</v>
      </c>
      <c r="B378" s="5">
        <v>45651</v>
      </c>
      <c r="C378" s="4" t="s">
        <v>48</v>
      </c>
      <c r="D378" s="4" t="s">
        <v>38</v>
      </c>
      <c r="E378" s="4" t="s">
        <v>27</v>
      </c>
      <c r="F378" s="4" t="s">
        <v>62</v>
      </c>
      <c r="G378" s="4">
        <v>5</v>
      </c>
      <c r="H378" s="4">
        <v>40954</v>
      </c>
      <c r="I378" s="4">
        <v>0.02</v>
      </c>
      <c r="J378" s="4">
        <v>204770</v>
      </c>
      <c r="K378" s="4">
        <f t="shared" si="5"/>
        <v>20477</v>
      </c>
      <c r="L378" s="4" t="s">
        <v>23</v>
      </c>
      <c r="M378" s="4" t="s">
        <v>24</v>
      </c>
      <c r="N37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79" spans="1:14">
      <c r="A379" s="6">
        <v>10378</v>
      </c>
      <c r="B379" s="5">
        <v>45618</v>
      </c>
      <c r="C379" s="4" t="s">
        <v>35</v>
      </c>
      <c r="D379" s="4" t="s">
        <v>36</v>
      </c>
      <c r="E379" s="4" t="s">
        <v>45</v>
      </c>
      <c r="F379" s="4" t="s">
        <v>46</v>
      </c>
      <c r="G379" s="4">
        <v>1</v>
      </c>
      <c r="H379" s="4">
        <v>30290</v>
      </c>
      <c r="I379" s="4">
        <v>0.02</v>
      </c>
      <c r="J379" s="4">
        <v>30290</v>
      </c>
      <c r="K379" s="4">
        <f t="shared" si="5"/>
        <v>10601.5</v>
      </c>
      <c r="L379" s="4" t="s">
        <v>47</v>
      </c>
      <c r="M379" s="4" t="s">
        <v>24</v>
      </c>
      <c r="N37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80" spans="1:14">
      <c r="A380" s="6">
        <v>10379</v>
      </c>
      <c r="B380" s="5">
        <v>45387</v>
      </c>
      <c r="C380" s="4" t="s">
        <v>35</v>
      </c>
      <c r="D380" s="4" t="s">
        <v>20</v>
      </c>
      <c r="E380" s="4" t="s">
        <v>21</v>
      </c>
      <c r="F380" s="4" t="s">
        <v>56</v>
      </c>
      <c r="G380" s="4">
        <v>8</v>
      </c>
      <c r="H380" s="4">
        <v>11717</v>
      </c>
      <c r="I380" s="4">
        <v>0.05</v>
      </c>
      <c r="J380" s="4">
        <v>93736</v>
      </c>
      <c r="K380" s="4">
        <f t="shared" si="5"/>
        <v>28120.799999999999</v>
      </c>
      <c r="L380" s="4" t="s">
        <v>37</v>
      </c>
      <c r="M380" s="4" t="s">
        <v>19</v>
      </c>
      <c r="N38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81" spans="1:14">
      <c r="A381" s="6">
        <v>10380</v>
      </c>
      <c r="B381" s="5">
        <v>45548</v>
      </c>
      <c r="C381" s="4" t="s">
        <v>25</v>
      </c>
      <c r="D381" s="4" t="s">
        <v>44</v>
      </c>
      <c r="E381" s="4" t="s">
        <v>16</v>
      </c>
      <c r="F381" s="4" t="s">
        <v>65</v>
      </c>
      <c r="G381" s="4">
        <v>8</v>
      </c>
      <c r="H381" s="4">
        <v>23357</v>
      </c>
      <c r="I381" s="4">
        <v>0</v>
      </c>
      <c r="J381" s="4">
        <v>186856</v>
      </c>
      <c r="K381" s="4">
        <f t="shared" si="5"/>
        <v>37371.200000000004</v>
      </c>
      <c r="L381" s="4" t="s">
        <v>55</v>
      </c>
      <c r="M381" s="4" t="s">
        <v>54</v>
      </c>
      <c r="N38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82" spans="1:14">
      <c r="A382" s="6">
        <v>10381</v>
      </c>
      <c r="B382" s="5">
        <v>45426</v>
      </c>
      <c r="C382" s="4" t="s">
        <v>14</v>
      </c>
      <c r="D382" s="4" t="s">
        <v>44</v>
      </c>
      <c r="E382" s="4" t="s">
        <v>16</v>
      </c>
      <c r="F382" s="4" t="s">
        <v>49</v>
      </c>
      <c r="G382" s="4">
        <v>5</v>
      </c>
      <c r="H382" s="4">
        <v>9155</v>
      </c>
      <c r="I382" s="4">
        <v>0.05</v>
      </c>
      <c r="J382" s="4">
        <v>45775</v>
      </c>
      <c r="K382" s="4">
        <f t="shared" si="5"/>
        <v>9155</v>
      </c>
      <c r="L382" s="4" t="s">
        <v>50</v>
      </c>
      <c r="M382" s="4" t="s">
        <v>19</v>
      </c>
      <c r="N38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83" spans="1:14">
      <c r="A383" s="6">
        <v>10382</v>
      </c>
      <c r="B383" s="5">
        <v>45442</v>
      </c>
      <c r="C383" s="4" t="s">
        <v>14</v>
      </c>
      <c r="D383" s="4" t="s">
        <v>51</v>
      </c>
      <c r="E383" s="4" t="s">
        <v>27</v>
      </c>
      <c r="F383" s="4" t="s">
        <v>28</v>
      </c>
      <c r="G383" s="4">
        <v>2</v>
      </c>
      <c r="H383" s="4">
        <v>21022</v>
      </c>
      <c r="I383" s="4">
        <v>0.05</v>
      </c>
      <c r="J383" s="4">
        <v>42044</v>
      </c>
      <c r="K383" s="4">
        <f t="shared" si="5"/>
        <v>4204.4000000000005</v>
      </c>
      <c r="L383" s="4" t="s">
        <v>50</v>
      </c>
      <c r="M383" s="4" t="s">
        <v>19</v>
      </c>
      <c r="N38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84" spans="1:14">
      <c r="A384" s="6">
        <v>10383</v>
      </c>
      <c r="B384" s="5">
        <v>45478</v>
      </c>
      <c r="C384" s="4" t="s">
        <v>43</v>
      </c>
      <c r="D384" s="4" t="s">
        <v>20</v>
      </c>
      <c r="E384" s="4" t="s">
        <v>16</v>
      </c>
      <c r="F384" s="4" t="s">
        <v>49</v>
      </c>
      <c r="G384" s="4">
        <v>4</v>
      </c>
      <c r="H384" s="4">
        <v>24816</v>
      </c>
      <c r="I384" s="4">
        <v>0.01</v>
      </c>
      <c r="J384" s="4">
        <v>99264</v>
      </c>
      <c r="K384" s="4">
        <f t="shared" si="5"/>
        <v>19852.800000000003</v>
      </c>
      <c r="L384" s="4" t="s">
        <v>53</v>
      </c>
      <c r="M384" s="4" t="s">
        <v>54</v>
      </c>
      <c r="N38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85" spans="1:14">
      <c r="A385" s="6">
        <v>10384</v>
      </c>
      <c r="B385" s="5">
        <v>45490</v>
      </c>
      <c r="C385" s="4" t="s">
        <v>43</v>
      </c>
      <c r="D385" s="4" t="s">
        <v>15</v>
      </c>
      <c r="E385" s="4" t="s">
        <v>27</v>
      </c>
      <c r="F385" s="4" t="s">
        <v>62</v>
      </c>
      <c r="G385" s="4">
        <v>9</v>
      </c>
      <c r="H385" s="4">
        <v>28228</v>
      </c>
      <c r="I385" s="4">
        <v>0.02</v>
      </c>
      <c r="J385" s="4">
        <v>254052</v>
      </c>
      <c r="K385" s="4">
        <f t="shared" si="5"/>
        <v>25405.200000000001</v>
      </c>
      <c r="L385" s="4" t="s">
        <v>53</v>
      </c>
      <c r="M385" s="4" t="s">
        <v>54</v>
      </c>
      <c r="N38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86" spans="1:14">
      <c r="A386" s="6">
        <v>10385</v>
      </c>
      <c r="B386" s="5">
        <v>45633</v>
      </c>
      <c r="C386" s="4" t="s">
        <v>43</v>
      </c>
      <c r="D386" s="4" t="s">
        <v>32</v>
      </c>
      <c r="E386" s="4" t="s">
        <v>33</v>
      </c>
      <c r="F386" s="4" t="s">
        <v>34</v>
      </c>
      <c r="G386" s="4">
        <v>1</v>
      </c>
      <c r="H386" s="4">
        <v>21058</v>
      </c>
      <c r="I386" s="4">
        <v>0.01</v>
      </c>
      <c r="J386" s="4">
        <v>21058</v>
      </c>
      <c r="K386" s="4">
        <f t="shared" ref="K386:K449" si="6">J386*N386</f>
        <v>5264.5</v>
      </c>
      <c r="L386" s="4" t="s">
        <v>23</v>
      </c>
      <c r="M386" s="4" t="s">
        <v>24</v>
      </c>
      <c r="N38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87" spans="1:14">
      <c r="A387" s="6">
        <v>10386</v>
      </c>
      <c r="B387" s="5">
        <v>45441</v>
      </c>
      <c r="C387" s="4" t="s">
        <v>31</v>
      </c>
      <c r="D387" s="4" t="s">
        <v>44</v>
      </c>
      <c r="E387" s="4" t="s">
        <v>21</v>
      </c>
      <c r="F387" s="4" t="s">
        <v>22</v>
      </c>
      <c r="G387" s="4">
        <v>5</v>
      </c>
      <c r="H387" s="4">
        <v>2105</v>
      </c>
      <c r="I387" s="4">
        <v>0.05</v>
      </c>
      <c r="J387" s="4">
        <v>10525</v>
      </c>
      <c r="K387" s="4">
        <f t="shared" si="6"/>
        <v>3157.5</v>
      </c>
      <c r="L387" s="4" t="s">
        <v>50</v>
      </c>
      <c r="M387" s="4" t="s">
        <v>19</v>
      </c>
      <c r="N38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88" spans="1:14">
      <c r="A388" s="6">
        <v>10387</v>
      </c>
      <c r="B388" s="5">
        <v>45559</v>
      </c>
      <c r="C388" s="4" t="s">
        <v>14</v>
      </c>
      <c r="D388" s="4" t="s">
        <v>44</v>
      </c>
      <c r="E388" s="4" t="s">
        <v>16</v>
      </c>
      <c r="F388" s="4" t="s">
        <v>17</v>
      </c>
      <c r="G388" s="4">
        <v>4</v>
      </c>
      <c r="H388" s="4">
        <v>33598</v>
      </c>
      <c r="I388" s="4">
        <v>0.01</v>
      </c>
      <c r="J388" s="4">
        <v>134392</v>
      </c>
      <c r="K388" s="4">
        <f t="shared" si="6"/>
        <v>26878.400000000001</v>
      </c>
      <c r="L388" s="4" t="s">
        <v>55</v>
      </c>
      <c r="M388" s="4" t="s">
        <v>54</v>
      </c>
      <c r="N38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89" spans="1:14">
      <c r="A389" s="6">
        <v>10388</v>
      </c>
      <c r="B389" s="5">
        <v>45611</v>
      </c>
      <c r="C389" s="4" t="s">
        <v>14</v>
      </c>
      <c r="D389" s="4" t="s">
        <v>15</v>
      </c>
      <c r="E389" s="4" t="s">
        <v>16</v>
      </c>
      <c r="F389" s="4" t="s">
        <v>49</v>
      </c>
      <c r="G389" s="4">
        <v>1</v>
      </c>
      <c r="H389" s="4">
        <v>44361</v>
      </c>
      <c r="I389" s="4">
        <v>0.05</v>
      </c>
      <c r="J389" s="4">
        <v>44361</v>
      </c>
      <c r="K389" s="4">
        <f t="shared" si="6"/>
        <v>8872.2000000000007</v>
      </c>
      <c r="L389" s="4" t="s">
        <v>47</v>
      </c>
      <c r="M389" s="4" t="s">
        <v>24</v>
      </c>
      <c r="N38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390" spans="1:14">
      <c r="A390" s="6">
        <v>10389</v>
      </c>
      <c r="B390" s="5">
        <v>45390</v>
      </c>
      <c r="C390" s="4" t="s">
        <v>43</v>
      </c>
      <c r="D390" s="4" t="s">
        <v>41</v>
      </c>
      <c r="E390" s="4" t="s">
        <v>33</v>
      </c>
      <c r="F390" s="4" t="s">
        <v>66</v>
      </c>
      <c r="G390" s="4">
        <v>3</v>
      </c>
      <c r="H390" s="4">
        <v>11521</v>
      </c>
      <c r="I390" s="4">
        <v>0.02</v>
      </c>
      <c r="J390" s="4">
        <v>34563</v>
      </c>
      <c r="K390" s="4">
        <f t="shared" si="6"/>
        <v>8640.75</v>
      </c>
      <c r="L390" s="4" t="s">
        <v>37</v>
      </c>
      <c r="M390" s="4" t="s">
        <v>19</v>
      </c>
      <c r="N39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91" spans="1:14">
      <c r="A391" s="6">
        <v>10390</v>
      </c>
      <c r="B391" s="5">
        <v>45332</v>
      </c>
      <c r="C391" s="4" t="s">
        <v>14</v>
      </c>
      <c r="D391" s="4" t="s">
        <v>51</v>
      </c>
      <c r="E391" s="4" t="s">
        <v>45</v>
      </c>
      <c r="F391" s="4" t="s">
        <v>46</v>
      </c>
      <c r="G391" s="4">
        <v>5</v>
      </c>
      <c r="H391" s="4">
        <v>5557</v>
      </c>
      <c r="I391" s="4">
        <v>0.05</v>
      </c>
      <c r="J391" s="4">
        <v>27785</v>
      </c>
      <c r="K391" s="4">
        <f t="shared" si="6"/>
        <v>9724.75</v>
      </c>
      <c r="L391" s="4" t="s">
        <v>29</v>
      </c>
      <c r="M391" s="4" t="s">
        <v>30</v>
      </c>
      <c r="N39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92" spans="1:14">
      <c r="A392" s="6">
        <v>10391</v>
      </c>
      <c r="B392" s="5">
        <v>45528</v>
      </c>
      <c r="C392" s="4" t="s">
        <v>35</v>
      </c>
      <c r="D392" s="4" t="s">
        <v>51</v>
      </c>
      <c r="E392" s="4" t="s">
        <v>21</v>
      </c>
      <c r="F392" s="4" t="s">
        <v>22</v>
      </c>
      <c r="G392" s="4">
        <v>9</v>
      </c>
      <c r="H392" s="4">
        <v>43351</v>
      </c>
      <c r="I392" s="4">
        <v>0.02</v>
      </c>
      <c r="J392" s="4">
        <v>390159</v>
      </c>
      <c r="K392" s="4">
        <f t="shared" si="6"/>
        <v>117047.7</v>
      </c>
      <c r="L392" s="4" t="s">
        <v>61</v>
      </c>
      <c r="M392" s="4" t="s">
        <v>54</v>
      </c>
      <c r="N39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393" spans="1:14">
      <c r="A393" s="6">
        <v>10392</v>
      </c>
      <c r="B393" s="5">
        <v>45646</v>
      </c>
      <c r="C393" s="4" t="s">
        <v>25</v>
      </c>
      <c r="D393" s="4" t="s">
        <v>44</v>
      </c>
      <c r="E393" s="4" t="s">
        <v>45</v>
      </c>
      <c r="F393" s="4" t="s">
        <v>60</v>
      </c>
      <c r="G393" s="4">
        <v>3</v>
      </c>
      <c r="H393" s="4">
        <v>36236</v>
      </c>
      <c r="I393" s="4">
        <v>0</v>
      </c>
      <c r="J393" s="4">
        <v>108708</v>
      </c>
      <c r="K393" s="4">
        <f t="shared" si="6"/>
        <v>38047.799999999996</v>
      </c>
      <c r="L393" s="4" t="s">
        <v>23</v>
      </c>
      <c r="M393" s="4" t="s">
        <v>24</v>
      </c>
      <c r="N39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94" spans="1:14">
      <c r="A394" s="6">
        <v>10393</v>
      </c>
      <c r="B394" s="5">
        <v>45446</v>
      </c>
      <c r="C394" s="4" t="s">
        <v>35</v>
      </c>
      <c r="D394" s="4" t="s">
        <v>44</v>
      </c>
      <c r="E394" s="4" t="s">
        <v>27</v>
      </c>
      <c r="F394" s="4" t="s">
        <v>64</v>
      </c>
      <c r="G394" s="4">
        <v>2</v>
      </c>
      <c r="H394" s="4">
        <v>48068</v>
      </c>
      <c r="I394" s="4">
        <v>0.05</v>
      </c>
      <c r="J394" s="4">
        <v>96136</v>
      </c>
      <c r="K394" s="4">
        <f t="shared" si="6"/>
        <v>9613.6</v>
      </c>
      <c r="L394" s="4" t="s">
        <v>18</v>
      </c>
      <c r="M394" s="4" t="s">
        <v>19</v>
      </c>
      <c r="N39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95" spans="1:14">
      <c r="A395" s="6">
        <v>10394</v>
      </c>
      <c r="B395" s="5">
        <v>45398</v>
      </c>
      <c r="C395" s="4" t="s">
        <v>25</v>
      </c>
      <c r="D395" s="4" t="s">
        <v>15</v>
      </c>
      <c r="E395" s="4" t="s">
        <v>27</v>
      </c>
      <c r="F395" s="4" t="s">
        <v>62</v>
      </c>
      <c r="G395" s="4">
        <v>7</v>
      </c>
      <c r="H395" s="4">
        <v>37020</v>
      </c>
      <c r="I395" s="4">
        <v>0.05</v>
      </c>
      <c r="J395" s="4">
        <v>259140</v>
      </c>
      <c r="K395" s="4">
        <f t="shared" si="6"/>
        <v>25914</v>
      </c>
      <c r="L395" s="4" t="s">
        <v>37</v>
      </c>
      <c r="M395" s="4" t="s">
        <v>19</v>
      </c>
      <c r="N39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396" spans="1:14">
      <c r="A396" s="6">
        <v>10395</v>
      </c>
      <c r="B396" s="5">
        <v>45411</v>
      </c>
      <c r="C396" s="4" t="s">
        <v>48</v>
      </c>
      <c r="D396" s="4" t="s">
        <v>41</v>
      </c>
      <c r="E396" s="4" t="s">
        <v>33</v>
      </c>
      <c r="F396" s="4" t="s">
        <v>59</v>
      </c>
      <c r="G396" s="4">
        <v>9</v>
      </c>
      <c r="H396" s="4">
        <v>33252</v>
      </c>
      <c r="I396" s="4">
        <v>0</v>
      </c>
      <c r="J396" s="4">
        <v>299268</v>
      </c>
      <c r="K396" s="4">
        <f t="shared" si="6"/>
        <v>74817</v>
      </c>
      <c r="L396" s="4" t="s">
        <v>37</v>
      </c>
      <c r="M396" s="4" t="s">
        <v>19</v>
      </c>
      <c r="N39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97" spans="1:14">
      <c r="A397" s="6">
        <v>10396</v>
      </c>
      <c r="B397" s="5">
        <v>45478</v>
      </c>
      <c r="C397" s="4" t="s">
        <v>14</v>
      </c>
      <c r="D397" s="4" t="s">
        <v>51</v>
      </c>
      <c r="E397" s="4" t="s">
        <v>33</v>
      </c>
      <c r="F397" s="4" t="s">
        <v>59</v>
      </c>
      <c r="G397" s="4">
        <v>7</v>
      </c>
      <c r="H397" s="4">
        <v>47694</v>
      </c>
      <c r="I397" s="4">
        <v>0.01</v>
      </c>
      <c r="J397" s="4">
        <v>333858</v>
      </c>
      <c r="K397" s="4">
        <f t="shared" si="6"/>
        <v>83464.5</v>
      </c>
      <c r="L397" s="4" t="s">
        <v>53</v>
      </c>
      <c r="M397" s="4" t="s">
        <v>54</v>
      </c>
      <c r="N39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398" spans="1:14">
      <c r="A398" s="6">
        <v>10397</v>
      </c>
      <c r="B398" s="5">
        <v>45318</v>
      </c>
      <c r="C398" s="4" t="s">
        <v>43</v>
      </c>
      <c r="D398" s="4" t="s">
        <v>26</v>
      </c>
      <c r="E398" s="4" t="s">
        <v>45</v>
      </c>
      <c r="F398" s="4" t="s">
        <v>46</v>
      </c>
      <c r="G398" s="4">
        <v>4</v>
      </c>
      <c r="H398" s="4">
        <v>13251</v>
      </c>
      <c r="I398" s="4">
        <v>0.05</v>
      </c>
      <c r="J398" s="4">
        <v>53004</v>
      </c>
      <c r="K398" s="4">
        <f t="shared" si="6"/>
        <v>18551.399999999998</v>
      </c>
      <c r="L398" s="4" t="s">
        <v>67</v>
      </c>
      <c r="M398" s="4" t="s">
        <v>30</v>
      </c>
      <c r="N39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399" spans="1:14">
      <c r="A399" s="6">
        <v>10398</v>
      </c>
      <c r="B399" s="5">
        <v>45559</v>
      </c>
      <c r="C399" s="4" t="s">
        <v>25</v>
      </c>
      <c r="D399" s="4" t="s">
        <v>41</v>
      </c>
      <c r="E399" s="4" t="s">
        <v>45</v>
      </c>
      <c r="F399" s="4" t="s">
        <v>46</v>
      </c>
      <c r="G399" s="4">
        <v>7</v>
      </c>
      <c r="H399" s="4">
        <v>36517</v>
      </c>
      <c r="I399" s="4">
        <v>0</v>
      </c>
      <c r="J399" s="4">
        <v>255619</v>
      </c>
      <c r="K399" s="4">
        <f t="shared" si="6"/>
        <v>89466.65</v>
      </c>
      <c r="L399" s="4" t="s">
        <v>55</v>
      </c>
      <c r="M399" s="4" t="s">
        <v>54</v>
      </c>
      <c r="N39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00" spans="1:14">
      <c r="A400" s="6">
        <v>10399</v>
      </c>
      <c r="B400" s="5">
        <v>45492</v>
      </c>
      <c r="C400" s="4" t="s">
        <v>48</v>
      </c>
      <c r="D400" s="4" t="s">
        <v>38</v>
      </c>
      <c r="E400" s="4" t="s">
        <v>27</v>
      </c>
      <c r="F400" s="4" t="s">
        <v>64</v>
      </c>
      <c r="G400" s="4">
        <v>6</v>
      </c>
      <c r="H400" s="4">
        <v>21195</v>
      </c>
      <c r="I400" s="4">
        <v>0.02</v>
      </c>
      <c r="J400" s="4">
        <v>127170</v>
      </c>
      <c r="K400" s="4">
        <f t="shared" si="6"/>
        <v>12717</v>
      </c>
      <c r="L400" s="4" t="s">
        <v>53</v>
      </c>
      <c r="M400" s="4" t="s">
        <v>54</v>
      </c>
      <c r="N40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01" spans="1:14">
      <c r="A401" s="6">
        <v>10400</v>
      </c>
      <c r="B401" s="5">
        <v>45631</v>
      </c>
      <c r="C401" s="4" t="s">
        <v>35</v>
      </c>
      <c r="D401" s="4" t="s">
        <v>51</v>
      </c>
      <c r="E401" s="4" t="s">
        <v>33</v>
      </c>
      <c r="F401" s="4" t="s">
        <v>34</v>
      </c>
      <c r="G401" s="4">
        <v>1</v>
      </c>
      <c r="H401" s="4">
        <v>45602</v>
      </c>
      <c r="I401" s="4">
        <v>0.02</v>
      </c>
      <c r="J401" s="4">
        <v>45602</v>
      </c>
      <c r="K401" s="4">
        <f t="shared" si="6"/>
        <v>11400.5</v>
      </c>
      <c r="L401" s="4" t="s">
        <v>23</v>
      </c>
      <c r="M401" s="4" t="s">
        <v>24</v>
      </c>
      <c r="N40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02" spans="1:14">
      <c r="A402" s="6">
        <v>10401</v>
      </c>
      <c r="B402" s="5">
        <v>45392</v>
      </c>
      <c r="C402" s="4" t="s">
        <v>48</v>
      </c>
      <c r="D402" s="4" t="s">
        <v>38</v>
      </c>
      <c r="E402" s="4" t="s">
        <v>27</v>
      </c>
      <c r="F402" s="4" t="s">
        <v>62</v>
      </c>
      <c r="G402" s="4">
        <v>1</v>
      </c>
      <c r="H402" s="4">
        <v>4551</v>
      </c>
      <c r="I402" s="4">
        <v>0.01</v>
      </c>
      <c r="J402" s="4">
        <v>4551</v>
      </c>
      <c r="K402" s="4">
        <f t="shared" si="6"/>
        <v>455.1</v>
      </c>
      <c r="L402" s="4" t="s">
        <v>37</v>
      </c>
      <c r="M402" s="4" t="s">
        <v>19</v>
      </c>
      <c r="N40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03" spans="1:14">
      <c r="A403" s="6">
        <v>10402</v>
      </c>
      <c r="B403" s="5">
        <v>45443</v>
      </c>
      <c r="C403" s="4" t="s">
        <v>25</v>
      </c>
      <c r="D403" s="4" t="s">
        <v>41</v>
      </c>
      <c r="E403" s="4" t="s">
        <v>16</v>
      </c>
      <c r="F403" s="4" t="s">
        <v>65</v>
      </c>
      <c r="G403" s="4">
        <v>5</v>
      </c>
      <c r="H403" s="4">
        <v>32845</v>
      </c>
      <c r="I403" s="4">
        <v>0</v>
      </c>
      <c r="J403" s="4">
        <v>164225</v>
      </c>
      <c r="K403" s="4">
        <f t="shared" si="6"/>
        <v>32845</v>
      </c>
      <c r="L403" s="4" t="s">
        <v>50</v>
      </c>
      <c r="M403" s="4" t="s">
        <v>19</v>
      </c>
      <c r="N40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04" spans="1:14">
      <c r="A404" s="6">
        <v>10403</v>
      </c>
      <c r="B404" s="5">
        <v>45606</v>
      </c>
      <c r="C404" s="4" t="s">
        <v>31</v>
      </c>
      <c r="D404" s="4" t="s">
        <v>15</v>
      </c>
      <c r="E404" s="4" t="s">
        <v>16</v>
      </c>
      <c r="F404" s="4" t="s">
        <v>65</v>
      </c>
      <c r="G404" s="4">
        <v>9</v>
      </c>
      <c r="H404" s="4">
        <v>30566</v>
      </c>
      <c r="I404" s="4">
        <v>0.05</v>
      </c>
      <c r="J404" s="4">
        <v>275094</v>
      </c>
      <c r="K404" s="4">
        <f t="shared" si="6"/>
        <v>55018.8</v>
      </c>
      <c r="L404" s="4" t="s">
        <v>47</v>
      </c>
      <c r="M404" s="4" t="s">
        <v>24</v>
      </c>
      <c r="N40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05" spans="1:14">
      <c r="A405" s="6">
        <v>10404</v>
      </c>
      <c r="B405" s="5">
        <v>45372</v>
      </c>
      <c r="C405" s="4" t="s">
        <v>25</v>
      </c>
      <c r="D405" s="4" t="s">
        <v>63</v>
      </c>
      <c r="E405" s="4" t="s">
        <v>27</v>
      </c>
      <c r="F405" s="4" t="s">
        <v>62</v>
      </c>
      <c r="G405" s="4">
        <v>7</v>
      </c>
      <c r="H405" s="4">
        <v>34276</v>
      </c>
      <c r="I405" s="4">
        <v>0.01</v>
      </c>
      <c r="J405" s="4">
        <v>239932</v>
      </c>
      <c r="K405" s="4">
        <f t="shared" si="6"/>
        <v>23993.200000000001</v>
      </c>
      <c r="L405" s="4" t="s">
        <v>42</v>
      </c>
      <c r="M405" s="4" t="s">
        <v>30</v>
      </c>
      <c r="N40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06" spans="1:14">
      <c r="A406" s="6">
        <v>10405</v>
      </c>
      <c r="B406" s="5">
        <v>45424</v>
      </c>
      <c r="C406" s="4" t="s">
        <v>25</v>
      </c>
      <c r="D406" s="4" t="s">
        <v>38</v>
      </c>
      <c r="E406" s="4" t="s">
        <v>21</v>
      </c>
      <c r="F406" s="4" t="s">
        <v>56</v>
      </c>
      <c r="G406" s="4">
        <v>6</v>
      </c>
      <c r="H406" s="4">
        <v>38125</v>
      </c>
      <c r="I406" s="4">
        <v>0.05</v>
      </c>
      <c r="J406" s="4">
        <v>228750</v>
      </c>
      <c r="K406" s="4">
        <f t="shared" si="6"/>
        <v>68625</v>
      </c>
      <c r="L406" s="4" t="s">
        <v>50</v>
      </c>
      <c r="M406" s="4" t="s">
        <v>19</v>
      </c>
      <c r="N40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07" spans="1:14">
      <c r="A407" s="6">
        <v>10406</v>
      </c>
      <c r="B407" s="5">
        <v>45439</v>
      </c>
      <c r="C407" s="4" t="s">
        <v>25</v>
      </c>
      <c r="D407" s="4" t="s">
        <v>63</v>
      </c>
      <c r="E407" s="4" t="s">
        <v>27</v>
      </c>
      <c r="F407" s="4" t="s">
        <v>28</v>
      </c>
      <c r="G407" s="4">
        <v>1</v>
      </c>
      <c r="H407" s="4">
        <v>13112</v>
      </c>
      <c r="I407" s="4">
        <v>0.02</v>
      </c>
      <c r="J407" s="4">
        <v>13112</v>
      </c>
      <c r="K407" s="4">
        <f t="shared" si="6"/>
        <v>1311.2</v>
      </c>
      <c r="L407" s="4" t="s">
        <v>50</v>
      </c>
      <c r="M407" s="4" t="s">
        <v>19</v>
      </c>
      <c r="N40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08" spans="1:14">
      <c r="A408" s="6">
        <v>10407</v>
      </c>
      <c r="B408" s="5">
        <v>45420</v>
      </c>
      <c r="C408" s="4" t="s">
        <v>25</v>
      </c>
      <c r="D408" s="4" t="s">
        <v>32</v>
      </c>
      <c r="E408" s="4" t="s">
        <v>45</v>
      </c>
      <c r="F408" s="4" t="s">
        <v>60</v>
      </c>
      <c r="G408" s="4">
        <v>4</v>
      </c>
      <c r="H408" s="4">
        <v>37258</v>
      </c>
      <c r="I408" s="4">
        <v>0.05</v>
      </c>
      <c r="J408" s="4">
        <v>149032</v>
      </c>
      <c r="K408" s="4">
        <f t="shared" si="6"/>
        <v>52161.2</v>
      </c>
      <c r="L408" s="4" t="s">
        <v>50</v>
      </c>
      <c r="M408" s="4" t="s">
        <v>19</v>
      </c>
      <c r="N40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09" spans="1:14">
      <c r="A409" s="6">
        <v>10408</v>
      </c>
      <c r="B409" s="5">
        <v>45300</v>
      </c>
      <c r="C409" s="4" t="s">
        <v>31</v>
      </c>
      <c r="D409" s="4" t="s">
        <v>51</v>
      </c>
      <c r="E409" s="4" t="s">
        <v>21</v>
      </c>
      <c r="F409" s="4" t="s">
        <v>22</v>
      </c>
      <c r="G409" s="4">
        <v>3</v>
      </c>
      <c r="H409" s="4">
        <v>5997</v>
      </c>
      <c r="I409" s="4">
        <v>0</v>
      </c>
      <c r="J409" s="4">
        <v>17991</v>
      </c>
      <c r="K409" s="4">
        <f t="shared" si="6"/>
        <v>5397.3</v>
      </c>
      <c r="L409" s="4" t="s">
        <v>67</v>
      </c>
      <c r="M409" s="4" t="s">
        <v>30</v>
      </c>
      <c r="N40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10" spans="1:14">
      <c r="A410" s="6">
        <v>10409</v>
      </c>
      <c r="B410" s="5">
        <v>45631</v>
      </c>
      <c r="C410" s="4" t="s">
        <v>25</v>
      </c>
      <c r="D410" s="4" t="s">
        <v>41</v>
      </c>
      <c r="E410" s="4" t="s">
        <v>27</v>
      </c>
      <c r="F410" s="4" t="s">
        <v>28</v>
      </c>
      <c r="G410" s="4">
        <v>6</v>
      </c>
      <c r="H410" s="4">
        <v>34767</v>
      </c>
      <c r="I410" s="4">
        <v>0</v>
      </c>
      <c r="J410" s="4">
        <v>208602</v>
      </c>
      <c r="K410" s="4">
        <f t="shared" si="6"/>
        <v>20860.2</v>
      </c>
      <c r="L410" s="4" t="s">
        <v>23</v>
      </c>
      <c r="M410" s="4" t="s">
        <v>24</v>
      </c>
      <c r="N41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11" spans="1:14">
      <c r="A411" s="6">
        <v>10410</v>
      </c>
      <c r="B411" s="5">
        <v>45314</v>
      </c>
      <c r="C411" s="4" t="s">
        <v>43</v>
      </c>
      <c r="D411" s="4" t="s">
        <v>20</v>
      </c>
      <c r="E411" s="4" t="s">
        <v>27</v>
      </c>
      <c r="F411" s="4" t="s">
        <v>64</v>
      </c>
      <c r="G411" s="4">
        <v>9</v>
      </c>
      <c r="H411" s="4">
        <v>4731</v>
      </c>
      <c r="I411" s="4">
        <v>0.02</v>
      </c>
      <c r="J411" s="4">
        <v>42579</v>
      </c>
      <c r="K411" s="4">
        <f t="shared" si="6"/>
        <v>4257.9000000000005</v>
      </c>
      <c r="L411" s="4" t="s">
        <v>67</v>
      </c>
      <c r="M411" s="4" t="s">
        <v>30</v>
      </c>
      <c r="N41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12" spans="1:14">
      <c r="A412" s="6">
        <v>10411</v>
      </c>
      <c r="B412" s="5">
        <v>45415</v>
      </c>
      <c r="C412" s="4" t="s">
        <v>43</v>
      </c>
      <c r="D412" s="4" t="s">
        <v>38</v>
      </c>
      <c r="E412" s="4" t="s">
        <v>21</v>
      </c>
      <c r="F412" s="4" t="s">
        <v>52</v>
      </c>
      <c r="G412" s="4">
        <v>5</v>
      </c>
      <c r="H412" s="4">
        <v>44526</v>
      </c>
      <c r="I412" s="4">
        <v>0.01</v>
      </c>
      <c r="J412" s="4">
        <v>222630</v>
      </c>
      <c r="K412" s="4">
        <f t="shared" si="6"/>
        <v>66789</v>
      </c>
      <c r="L412" s="4" t="s">
        <v>50</v>
      </c>
      <c r="M412" s="4" t="s">
        <v>19</v>
      </c>
      <c r="N41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13" spans="1:14">
      <c r="A413" s="6">
        <v>10412</v>
      </c>
      <c r="B413" s="5">
        <v>45538</v>
      </c>
      <c r="C413" s="4" t="s">
        <v>43</v>
      </c>
      <c r="D413" s="4" t="s">
        <v>32</v>
      </c>
      <c r="E413" s="4" t="s">
        <v>27</v>
      </c>
      <c r="F413" s="4" t="s">
        <v>62</v>
      </c>
      <c r="G413" s="4">
        <v>2</v>
      </c>
      <c r="H413" s="4">
        <v>38327</v>
      </c>
      <c r="I413" s="4">
        <v>0.05</v>
      </c>
      <c r="J413" s="4">
        <v>76654</v>
      </c>
      <c r="K413" s="4">
        <f t="shared" si="6"/>
        <v>7665.4000000000005</v>
      </c>
      <c r="L413" s="4" t="s">
        <v>55</v>
      </c>
      <c r="M413" s="4" t="s">
        <v>54</v>
      </c>
      <c r="N41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14" spans="1:14">
      <c r="A414" s="6">
        <v>10413</v>
      </c>
      <c r="B414" s="5">
        <v>45619</v>
      </c>
      <c r="C414" s="4" t="s">
        <v>35</v>
      </c>
      <c r="D414" s="4" t="s">
        <v>41</v>
      </c>
      <c r="E414" s="4" t="s">
        <v>45</v>
      </c>
      <c r="F414" s="4" t="s">
        <v>60</v>
      </c>
      <c r="G414" s="4">
        <v>1</v>
      </c>
      <c r="H414" s="4">
        <v>20552</v>
      </c>
      <c r="I414" s="4">
        <v>0</v>
      </c>
      <c r="J414" s="4">
        <v>20552</v>
      </c>
      <c r="K414" s="4">
        <f t="shared" si="6"/>
        <v>7193.2</v>
      </c>
      <c r="L414" s="4" t="s">
        <v>47</v>
      </c>
      <c r="M414" s="4" t="s">
        <v>24</v>
      </c>
      <c r="N41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15" spans="1:14">
      <c r="A415" s="6">
        <v>10414</v>
      </c>
      <c r="B415" s="5">
        <v>45482</v>
      </c>
      <c r="C415" s="4" t="s">
        <v>48</v>
      </c>
      <c r="D415" s="4" t="s">
        <v>36</v>
      </c>
      <c r="E415" s="4" t="s">
        <v>27</v>
      </c>
      <c r="F415" s="4" t="s">
        <v>28</v>
      </c>
      <c r="G415" s="4">
        <v>9</v>
      </c>
      <c r="H415" s="4">
        <v>17402</v>
      </c>
      <c r="I415" s="4">
        <v>0.01</v>
      </c>
      <c r="J415" s="4">
        <v>156618</v>
      </c>
      <c r="K415" s="4">
        <f t="shared" si="6"/>
        <v>15661.800000000001</v>
      </c>
      <c r="L415" s="4" t="s">
        <v>53</v>
      </c>
      <c r="M415" s="4" t="s">
        <v>54</v>
      </c>
      <c r="N41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16" spans="1:14">
      <c r="A416" s="6">
        <v>10415</v>
      </c>
      <c r="B416" s="5">
        <v>45387</v>
      </c>
      <c r="C416" s="4" t="s">
        <v>35</v>
      </c>
      <c r="D416" s="4" t="s">
        <v>44</v>
      </c>
      <c r="E416" s="4" t="s">
        <v>45</v>
      </c>
      <c r="F416" s="4" t="s">
        <v>57</v>
      </c>
      <c r="G416" s="4">
        <v>6</v>
      </c>
      <c r="H416" s="4">
        <v>16950</v>
      </c>
      <c r="I416" s="4">
        <v>0.02</v>
      </c>
      <c r="J416" s="4">
        <v>101700</v>
      </c>
      <c r="K416" s="4">
        <f t="shared" si="6"/>
        <v>35595</v>
      </c>
      <c r="L416" s="4" t="s">
        <v>37</v>
      </c>
      <c r="M416" s="4" t="s">
        <v>19</v>
      </c>
      <c r="N41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17" spans="1:14">
      <c r="A417" s="6">
        <v>10416</v>
      </c>
      <c r="B417" s="5">
        <v>45421</v>
      </c>
      <c r="C417" s="4" t="s">
        <v>35</v>
      </c>
      <c r="D417" s="4" t="s">
        <v>51</v>
      </c>
      <c r="E417" s="4" t="s">
        <v>27</v>
      </c>
      <c r="F417" s="4" t="s">
        <v>62</v>
      </c>
      <c r="G417" s="4">
        <v>4</v>
      </c>
      <c r="H417" s="4">
        <v>24580</v>
      </c>
      <c r="I417" s="4">
        <v>0.05</v>
      </c>
      <c r="J417" s="4">
        <v>98320</v>
      </c>
      <c r="K417" s="4">
        <f t="shared" si="6"/>
        <v>9832</v>
      </c>
      <c r="L417" s="4" t="s">
        <v>50</v>
      </c>
      <c r="M417" s="4" t="s">
        <v>19</v>
      </c>
      <c r="N41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18" spans="1:14">
      <c r="A418" s="6">
        <v>10417</v>
      </c>
      <c r="B418" s="5">
        <v>45571</v>
      </c>
      <c r="C418" s="4" t="s">
        <v>48</v>
      </c>
      <c r="D418" s="4" t="s">
        <v>20</v>
      </c>
      <c r="E418" s="4" t="s">
        <v>16</v>
      </c>
      <c r="F418" s="4" t="s">
        <v>17</v>
      </c>
      <c r="G418" s="4">
        <v>1</v>
      </c>
      <c r="H418" s="4">
        <v>11561</v>
      </c>
      <c r="I418" s="4">
        <v>0.01</v>
      </c>
      <c r="J418" s="4">
        <v>11561</v>
      </c>
      <c r="K418" s="4">
        <f t="shared" si="6"/>
        <v>2312.2000000000003</v>
      </c>
      <c r="L418" s="4" t="s">
        <v>58</v>
      </c>
      <c r="M418" s="4" t="s">
        <v>24</v>
      </c>
      <c r="N41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19" spans="1:14">
      <c r="A419" s="6">
        <v>10418</v>
      </c>
      <c r="B419" s="5">
        <v>45438</v>
      </c>
      <c r="C419" s="4" t="s">
        <v>25</v>
      </c>
      <c r="D419" s="4" t="s">
        <v>41</v>
      </c>
      <c r="E419" s="4" t="s">
        <v>45</v>
      </c>
      <c r="F419" s="4" t="s">
        <v>60</v>
      </c>
      <c r="G419" s="4">
        <v>2</v>
      </c>
      <c r="H419" s="4">
        <v>45505</v>
      </c>
      <c r="I419" s="4">
        <v>0.05</v>
      </c>
      <c r="J419" s="4">
        <v>91010</v>
      </c>
      <c r="K419" s="4">
        <f t="shared" si="6"/>
        <v>31853.499999999996</v>
      </c>
      <c r="L419" s="4" t="s">
        <v>50</v>
      </c>
      <c r="M419" s="4" t="s">
        <v>19</v>
      </c>
      <c r="N41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20" spans="1:14">
      <c r="A420" s="6">
        <v>10419</v>
      </c>
      <c r="B420" s="5">
        <v>45372</v>
      </c>
      <c r="C420" s="4" t="s">
        <v>14</v>
      </c>
      <c r="D420" s="4" t="s">
        <v>36</v>
      </c>
      <c r="E420" s="4" t="s">
        <v>27</v>
      </c>
      <c r="F420" s="4" t="s">
        <v>64</v>
      </c>
      <c r="G420" s="4">
        <v>9</v>
      </c>
      <c r="H420" s="4">
        <v>15114</v>
      </c>
      <c r="I420" s="4">
        <v>0.05</v>
      </c>
      <c r="J420" s="4">
        <v>136026</v>
      </c>
      <c r="K420" s="4">
        <f t="shared" si="6"/>
        <v>13602.6</v>
      </c>
      <c r="L420" s="4" t="s">
        <v>42</v>
      </c>
      <c r="M420" s="4" t="s">
        <v>30</v>
      </c>
      <c r="N42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21" spans="1:14">
      <c r="A421" s="6">
        <v>10420</v>
      </c>
      <c r="B421" s="5">
        <v>45330</v>
      </c>
      <c r="C421" s="4" t="s">
        <v>43</v>
      </c>
      <c r="D421" s="4" t="s">
        <v>26</v>
      </c>
      <c r="E421" s="4" t="s">
        <v>21</v>
      </c>
      <c r="F421" s="4" t="s">
        <v>56</v>
      </c>
      <c r="G421" s="4">
        <v>4</v>
      </c>
      <c r="H421" s="4">
        <v>17346</v>
      </c>
      <c r="I421" s="4">
        <v>0</v>
      </c>
      <c r="J421" s="4">
        <v>69384</v>
      </c>
      <c r="K421" s="4">
        <f t="shared" si="6"/>
        <v>20815.2</v>
      </c>
      <c r="L421" s="4" t="s">
        <v>29</v>
      </c>
      <c r="M421" s="4" t="s">
        <v>30</v>
      </c>
      <c r="N42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22" spans="1:14">
      <c r="A422" s="6">
        <v>10421</v>
      </c>
      <c r="B422" s="5">
        <v>45434</v>
      </c>
      <c r="C422" s="4" t="s">
        <v>31</v>
      </c>
      <c r="D422" s="4" t="s">
        <v>32</v>
      </c>
      <c r="E422" s="4" t="s">
        <v>45</v>
      </c>
      <c r="F422" s="4" t="s">
        <v>46</v>
      </c>
      <c r="G422" s="4">
        <v>2</v>
      </c>
      <c r="H422" s="4">
        <v>31109</v>
      </c>
      <c r="I422" s="4">
        <v>0</v>
      </c>
      <c r="J422" s="4">
        <v>62218</v>
      </c>
      <c r="K422" s="4">
        <f t="shared" si="6"/>
        <v>21776.3</v>
      </c>
      <c r="L422" s="4" t="s">
        <v>50</v>
      </c>
      <c r="M422" s="4" t="s">
        <v>19</v>
      </c>
      <c r="N42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23" spans="1:14">
      <c r="A423" s="6">
        <v>10422</v>
      </c>
      <c r="B423" s="5">
        <v>45498</v>
      </c>
      <c r="C423" s="4" t="s">
        <v>25</v>
      </c>
      <c r="D423" s="4" t="s">
        <v>15</v>
      </c>
      <c r="E423" s="4" t="s">
        <v>27</v>
      </c>
      <c r="F423" s="4" t="s">
        <v>62</v>
      </c>
      <c r="G423" s="4">
        <v>6</v>
      </c>
      <c r="H423" s="4">
        <v>46800</v>
      </c>
      <c r="I423" s="4">
        <v>0.02</v>
      </c>
      <c r="J423" s="4">
        <v>280800</v>
      </c>
      <c r="K423" s="4">
        <f t="shared" si="6"/>
        <v>28080</v>
      </c>
      <c r="L423" s="4" t="s">
        <v>53</v>
      </c>
      <c r="M423" s="4" t="s">
        <v>54</v>
      </c>
      <c r="N42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24" spans="1:14">
      <c r="A424" s="6">
        <v>10423</v>
      </c>
      <c r="B424" s="5">
        <v>45326</v>
      </c>
      <c r="C424" s="4" t="s">
        <v>35</v>
      </c>
      <c r="D424" s="4" t="s">
        <v>44</v>
      </c>
      <c r="E424" s="4" t="s">
        <v>45</v>
      </c>
      <c r="F424" s="4" t="s">
        <v>60</v>
      </c>
      <c r="G424" s="4">
        <v>1</v>
      </c>
      <c r="H424" s="4">
        <v>3642</v>
      </c>
      <c r="I424" s="4">
        <v>0.01</v>
      </c>
      <c r="J424" s="4">
        <v>3642</v>
      </c>
      <c r="K424" s="4">
        <f t="shared" si="6"/>
        <v>1274.6999999999998</v>
      </c>
      <c r="L424" s="4" t="s">
        <v>29</v>
      </c>
      <c r="M424" s="4" t="s">
        <v>30</v>
      </c>
      <c r="N42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25" spans="1:14">
      <c r="A425" s="6">
        <v>10424</v>
      </c>
      <c r="B425" s="5">
        <v>45545</v>
      </c>
      <c r="C425" s="4" t="s">
        <v>43</v>
      </c>
      <c r="D425" s="4" t="s">
        <v>26</v>
      </c>
      <c r="E425" s="4" t="s">
        <v>33</v>
      </c>
      <c r="F425" s="4" t="s">
        <v>66</v>
      </c>
      <c r="G425" s="4">
        <v>3</v>
      </c>
      <c r="H425" s="4">
        <v>48994</v>
      </c>
      <c r="I425" s="4">
        <v>0.05</v>
      </c>
      <c r="J425" s="4">
        <v>146982</v>
      </c>
      <c r="K425" s="4">
        <f t="shared" si="6"/>
        <v>36745.5</v>
      </c>
      <c r="L425" s="4" t="s">
        <v>55</v>
      </c>
      <c r="M425" s="4" t="s">
        <v>54</v>
      </c>
      <c r="N42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26" spans="1:14">
      <c r="A426" s="6">
        <v>10425</v>
      </c>
      <c r="B426" s="5">
        <v>45351</v>
      </c>
      <c r="C426" s="4" t="s">
        <v>31</v>
      </c>
      <c r="D426" s="4" t="s">
        <v>15</v>
      </c>
      <c r="E426" s="4" t="s">
        <v>16</v>
      </c>
      <c r="F426" s="4" t="s">
        <v>49</v>
      </c>
      <c r="G426" s="4">
        <v>1</v>
      </c>
      <c r="H426" s="4">
        <v>38164</v>
      </c>
      <c r="I426" s="4">
        <v>0.05</v>
      </c>
      <c r="J426" s="4">
        <v>38164</v>
      </c>
      <c r="K426" s="4">
        <f t="shared" si="6"/>
        <v>7632.8</v>
      </c>
      <c r="L426" s="4" t="s">
        <v>29</v>
      </c>
      <c r="M426" s="4" t="s">
        <v>30</v>
      </c>
      <c r="N42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27" spans="1:14">
      <c r="A427" s="6">
        <v>10426</v>
      </c>
      <c r="B427" s="5">
        <v>45333</v>
      </c>
      <c r="C427" s="4" t="s">
        <v>25</v>
      </c>
      <c r="D427" s="4" t="s">
        <v>20</v>
      </c>
      <c r="E427" s="4" t="s">
        <v>45</v>
      </c>
      <c r="F427" s="4" t="s">
        <v>46</v>
      </c>
      <c r="G427" s="4">
        <v>4</v>
      </c>
      <c r="H427" s="4">
        <v>12336</v>
      </c>
      <c r="I427" s="4">
        <v>0</v>
      </c>
      <c r="J427" s="4">
        <v>49344</v>
      </c>
      <c r="K427" s="4">
        <f t="shared" si="6"/>
        <v>17270.399999999998</v>
      </c>
      <c r="L427" s="4" t="s">
        <v>29</v>
      </c>
      <c r="M427" s="4" t="s">
        <v>30</v>
      </c>
      <c r="N42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28" spans="1:14">
      <c r="A428" s="6">
        <v>10427</v>
      </c>
      <c r="B428" s="5">
        <v>45403</v>
      </c>
      <c r="C428" s="4" t="s">
        <v>14</v>
      </c>
      <c r="D428" s="4" t="s">
        <v>26</v>
      </c>
      <c r="E428" s="4" t="s">
        <v>16</v>
      </c>
      <c r="F428" s="4" t="s">
        <v>17</v>
      </c>
      <c r="G428" s="4">
        <v>2</v>
      </c>
      <c r="H428" s="4">
        <v>20874</v>
      </c>
      <c r="I428" s="4">
        <v>0.05</v>
      </c>
      <c r="J428" s="4">
        <v>41748</v>
      </c>
      <c r="K428" s="4">
        <f t="shared" si="6"/>
        <v>8349.6</v>
      </c>
      <c r="L428" s="4" t="s">
        <v>37</v>
      </c>
      <c r="M428" s="4" t="s">
        <v>19</v>
      </c>
      <c r="N42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29" spans="1:14">
      <c r="A429" s="6">
        <v>10428</v>
      </c>
      <c r="B429" s="5">
        <v>45593</v>
      </c>
      <c r="C429" s="4" t="s">
        <v>31</v>
      </c>
      <c r="D429" s="4" t="s">
        <v>38</v>
      </c>
      <c r="E429" s="4" t="s">
        <v>16</v>
      </c>
      <c r="F429" s="4" t="s">
        <v>65</v>
      </c>
      <c r="G429" s="4">
        <v>3</v>
      </c>
      <c r="H429" s="4">
        <v>30943</v>
      </c>
      <c r="I429" s="4">
        <v>0.05</v>
      </c>
      <c r="J429" s="4">
        <v>92829</v>
      </c>
      <c r="K429" s="4">
        <f t="shared" si="6"/>
        <v>18565.8</v>
      </c>
      <c r="L429" s="4" t="s">
        <v>58</v>
      </c>
      <c r="M429" s="4" t="s">
        <v>24</v>
      </c>
      <c r="N42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30" spans="1:14">
      <c r="A430" s="6">
        <v>10429</v>
      </c>
      <c r="B430" s="5">
        <v>45598</v>
      </c>
      <c r="C430" s="4" t="s">
        <v>14</v>
      </c>
      <c r="D430" s="4" t="s">
        <v>36</v>
      </c>
      <c r="E430" s="4" t="s">
        <v>16</v>
      </c>
      <c r="F430" s="4" t="s">
        <v>49</v>
      </c>
      <c r="G430" s="4">
        <v>4</v>
      </c>
      <c r="H430" s="4">
        <v>29327</v>
      </c>
      <c r="I430" s="4">
        <v>0.02</v>
      </c>
      <c r="J430" s="4">
        <v>117308</v>
      </c>
      <c r="K430" s="4">
        <f t="shared" si="6"/>
        <v>23461.600000000002</v>
      </c>
      <c r="L430" s="4" t="s">
        <v>47</v>
      </c>
      <c r="M430" s="4" t="s">
        <v>24</v>
      </c>
      <c r="N43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31" spans="1:14">
      <c r="A431" s="6">
        <v>10430</v>
      </c>
      <c r="B431" s="5">
        <v>45327</v>
      </c>
      <c r="C431" s="4" t="s">
        <v>25</v>
      </c>
      <c r="D431" s="4" t="s">
        <v>38</v>
      </c>
      <c r="E431" s="4" t="s">
        <v>45</v>
      </c>
      <c r="F431" s="4" t="s">
        <v>46</v>
      </c>
      <c r="G431" s="4">
        <v>5</v>
      </c>
      <c r="H431" s="4">
        <v>6039</v>
      </c>
      <c r="I431" s="4">
        <v>0.01</v>
      </c>
      <c r="J431" s="4">
        <v>30195</v>
      </c>
      <c r="K431" s="4">
        <f t="shared" si="6"/>
        <v>10568.25</v>
      </c>
      <c r="L431" s="4" t="s">
        <v>29</v>
      </c>
      <c r="M431" s="4" t="s">
        <v>30</v>
      </c>
      <c r="N43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32" spans="1:14">
      <c r="A432" s="6">
        <v>10431</v>
      </c>
      <c r="B432" s="5">
        <v>45404</v>
      </c>
      <c r="C432" s="4" t="s">
        <v>43</v>
      </c>
      <c r="D432" s="4" t="s">
        <v>20</v>
      </c>
      <c r="E432" s="4" t="s">
        <v>33</v>
      </c>
      <c r="F432" s="4" t="s">
        <v>34</v>
      </c>
      <c r="G432" s="4">
        <v>1</v>
      </c>
      <c r="H432" s="4">
        <v>21810</v>
      </c>
      <c r="I432" s="4">
        <v>0.05</v>
      </c>
      <c r="J432" s="4">
        <v>21810</v>
      </c>
      <c r="K432" s="4">
        <f t="shared" si="6"/>
        <v>5452.5</v>
      </c>
      <c r="L432" s="4" t="s">
        <v>37</v>
      </c>
      <c r="M432" s="4" t="s">
        <v>19</v>
      </c>
      <c r="N43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33" spans="1:14">
      <c r="A433" s="6">
        <v>10432</v>
      </c>
      <c r="B433" s="5">
        <v>45486</v>
      </c>
      <c r="C433" s="4" t="s">
        <v>48</v>
      </c>
      <c r="D433" s="4" t="s">
        <v>32</v>
      </c>
      <c r="E433" s="4" t="s">
        <v>21</v>
      </c>
      <c r="F433" s="4" t="s">
        <v>52</v>
      </c>
      <c r="G433" s="4">
        <v>4</v>
      </c>
      <c r="H433" s="4">
        <v>8610</v>
      </c>
      <c r="I433" s="4">
        <v>0.02</v>
      </c>
      <c r="J433" s="4">
        <v>34440</v>
      </c>
      <c r="K433" s="4">
        <f t="shared" si="6"/>
        <v>10332</v>
      </c>
      <c r="L433" s="4" t="s">
        <v>53</v>
      </c>
      <c r="M433" s="4" t="s">
        <v>54</v>
      </c>
      <c r="N43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34" spans="1:14">
      <c r="A434" s="6">
        <v>10433</v>
      </c>
      <c r="B434" s="5">
        <v>45631</v>
      </c>
      <c r="C434" s="4" t="s">
        <v>48</v>
      </c>
      <c r="D434" s="4" t="s">
        <v>15</v>
      </c>
      <c r="E434" s="4" t="s">
        <v>27</v>
      </c>
      <c r="F434" s="4" t="s">
        <v>62</v>
      </c>
      <c r="G434" s="4">
        <v>7</v>
      </c>
      <c r="H434" s="4">
        <v>11103</v>
      </c>
      <c r="I434" s="4">
        <v>0.02</v>
      </c>
      <c r="J434" s="4">
        <v>77721</v>
      </c>
      <c r="K434" s="4">
        <f t="shared" si="6"/>
        <v>7772.1</v>
      </c>
      <c r="L434" s="4" t="s">
        <v>23</v>
      </c>
      <c r="M434" s="4" t="s">
        <v>24</v>
      </c>
      <c r="N43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35" spans="1:14">
      <c r="A435" s="6">
        <v>10434</v>
      </c>
      <c r="B435" s="5">
        <v>45387</v>
      </c>
      <c r="C435" s="4" t="s">
        <v>25</v>
      </c>
      <c r="D435" s="4" t="s">
        <v>26</v>
      </c>
      <c r="E435" s="4" t="s">
        <v>21</v>
      </c>
      <c r="F435" s="4" t="s">
        <v>22</v>
      </c>
      <c r="G435" s="4">
        <v>9</v>
      </c>
      <c r="H435" s="4">
        <v>17678</v>
      </c>
      <c r="I435" s="4">
        <v>0</v>
      </c>
      <c r="J435" s="4">
        <v>159102</v>
      </c>
      <c r="K435" s="4">
        <f t="shared" si="6"/>
        <v>47730.6</v>
      </c>
      <c r="L435" s="4" t="s">
        <v>37</v>
      </c>
      <c r="M435" s="4" t="s">
        <v>19</v>
      </c>
      <c r="N43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36" spans="1:14">
      <c r="A436" s="6">
        <v>10435</v>
      </c>
      <c r="B436" s="5">
        <v>45442</v>
      </c>
      <c r="C436" s="4" t="s">
        <v>43</v>
      </c>
      <c r="D436" s="4" t="s">
        <v>41</v>
      </c>
      <c r="E436" s="4" t="s">
        <v>16</v>
      </c>
      <c r="F436" s="4" t="s">
        <v>17</v>
      </c>
      <c r="G436" s="4">
        <v>2</v>
      </c>
      <c r="H436" s="4">
        <v>21025</v>
      </c>
      <c r="I436" s="4">
        <v>0.02</v>
      </c>
      <c r="J436" s="4">
        <v>42050</v>
      </c>
      <c r="K436" s="4">
        <f t="shared" si="6"/>
        <v>8410</v>
      </c>
      <c r="L436" s="4" t="s">
        <v>50</v>
      </c>
      <c r="M436" s="4" t="s">
        <v>19</v>
      </c>
      <c r="N43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37" spans="1:14">
      <c r="A437" s="6">
        <v>10436</v>
      </c>
      <c r="B437" s="5">
        <v>45525</v>
      </c>
      <c r="C437" s="4" t="s">
        <v>31</v>
      </c>
      <c r="D437" s="4" t="s">
        <v>41</v>
      </c>
      <c r="E437" s="4" t="s">
        <v>21</v>
      </c>
      <c r="F437" s="4" t="s">
        <v>52</v>
      </c>
      <c r="G437" s="4">
        <v>2</v>
      </c>
      <c r="H437" s="4">
        <v>25417</v>
      </c>
      <c r="I437" s="4">
        <v>0.02</v>
      </c>
      <c r="J437" s="4">
        <v>50834</v>
      </c>
      <c r="K437" s="4">
        <f t="shared" si="6"/>
        <v>15250.199999999999</v>
      </c>
      <c r="L437" s="4" t="s">
        <v>61</v>
      </c>
      <c r="M437" s="4" t="s">
        <v>54</v>
      </c>
      <c r="N43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38" spans="1:14">
      <c r="A438" s="6">
        <v>10437</v>
      </c>
      <c r="B438" s="5">
        <v>45614</v>
      </c>
      <c r="C438" s="4" t="s">
        <v>25</v>
      </c>
      <c r="D438" s="4" t="s">
        <v>44</v>
      </c>
      <c r="E438" s="4" t="s">
        <v>27</v>
      </c>
      <c r="F438" s="4" t="s">
        <v>62</v>
      </c>
      <c r="G438" s="4">
        <v>6</v>
      </c>
      <c r="H438" s="4">
        <v>29927</v>
      </c>
      <c r="I438" s="4">
        <v>0.02</v>
      </c>
      <c r="J438" s="4">
        <v>179562</v>
      </c>
      <c r="K438" s="4">
        <f t="shared" si="6"/>
        <v>17956.2</v>
      </c>
      <c r="L438" s="4" t="s">
        <v>47</v>
      </c>
      <c r="M438" s="4" t="s">
        <v>24</v>
      </c>
      <c r="N43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39" spans="1:14">
      <c r="A439" s="6">
        <v>10438</v>
      </c>
      <c r="B439" s="5">
        <v>45508</v>
      </c>
      <c r="C439" s="4" t="s">
        <v>25</v>
      </c>
      <c r="D439" s="4" t="s">
        <v>63</v>
      </c>
      <c r="E439" s="4" t="s">
        <v>45</v>
      </c>
      <c r="F439" s="4" t="s">
        <v>46</v>
      </c>
      <c r="G439" s="4">
        <v>3</v>
      </c>
      <c r="H439" s="4">
        <v>14261</v>
      </c>
      <c r="I439" s="4">
        <v>0.01</v>
      </c>
      <c r="J439" s="4">
        <v>42783</v>
      </c>
      <c r="K439" s="4">
        <f t="shared" si="6"/>
        <v>14974.05</v>
      </c>
      <c r="L439" s="4" t="s">
        <v>61</v>
      </c>
      <c r="M439" s="4" t="s">
        <v>54</v>
      </c>
      <c r="N43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40" spans="1:14">
      <c r="A440" s="6">
        <v>10439</v>
      </c>
      <c r="B440" s="5">
        <v>45463</v>
      </c>
      <c r="C440" s="4" t="s">
        <v>48</v>
      </c>
      <c r="D440" s="4" t="s">
        <v>41</v>
      </c>
      <c r="E440" s="4" t="s">
        <v>16</v>
      </c>
      <c r="F440" s="4" t="s">
        <v>17</v>
      </c>
      <c r="G440" s="4">
        <v>5</v>
      </c>
      <c r="H440" s="4">
        <v>35800</v>
      </c>
      <c r="I440" s="4">
        <v>0.01</v>
      </c>
      <c r="J440" s="4">
        <v>179000</v>
      </c>
      <c r="K440" s="4">
        <f t="shared" si="6"/>
        <v>35800</v>
      </c>
      <c r="L440" s="4" t="s">
        <v>18</v>
      </c>
      <c r="M440" s="4" t="s">
        <v>19</v>
      </c>
      <c r="N44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41" spans="1:14">
      <c r="A441" s="6">
        <v>10440</v>
      </c>
      <c r="B441" s="5">
        <v>45585</v>
      </c>
      <c r="C441" s="4" t="s">
        <v>43</v>
      </c>
      <c r="D441" s="4" t="s">
        <v>44</v>
      </c>
      <c r="E441" s="4" t="s">
        <v>21</v>
      </c>
      <c r="F441" s="4" t="s">
        <v>56</v>
      </c>
      <c r="G441" s="4">
        <v>3</v>
      </c>
      <c r="H441" s="4">
        <v>18186</v>
      </c>
      <c r="I441" s="4">
        <v>0.05</v>
      </c>
      <c r="J441" s="4">
        <v>54558</v>
      </c>
      <c r="K441" s="4">
        <f t="shared" si="6"/>
        <v>16367.4</v>
      </c>
      <c r="L441" s="4" t="s">
        <v>58</v>
      </c>
      <c r="M441" s="4" t="s">
        <v>24</v>
      </c>
      <c r="N44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42" spans="1:14">
      <c r="A442" s="6">
        <v>10441</v>
      </c>
      <c r="B442" s="5">
        <v>45296</v>
      </c>
      <c r="C442" s="4" t="s">
        <v>14</v>
      </c>
      <c r="D442" s="4" t="s">
        <v>63</v>
      </c>
      <c r="E442" s="4" t="s">
        <v>45</v>
      </c>
      <c r="F442" s="4" t="s">
        <v>46</v>
      </c>
      <c r="G442" s="4">
        <v>9</v>
      </c>
      <c r="H442" s="4">
        <v>33828</v>
      </c>
      <c r="I442" s="4">
        <v>0.02</v>
      </c>
      <c r="J442" s="4">
        <v>304452</v>
      </c>
      <c r="K442" s="4">
        <f t="shared" si="6"/>
        <v>106558.2</v>
      </c>
      <c r="L442" s="4" t="s">
        <v>67</v>
      </c>
      <c r="M442" s="4" t="s">
        <v>30</v>
      </c>
      <c r="N44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43" spans="1:14">
      <c r="A443" s="6">
        <v>10442</v>
      </c>
      <c r="B443" s="5">
        <v>45533</v>
      </c>
      <c r="C443" s="4" t="s">
        <v>48</v>
      </c>
      <c r="D443" s="4" t="s">
        <v>63</v>
      </c>
      <c r="E443" s="4" t="s">
        <v>16</v>
      </c>
      <c r="F443" s="4" t="s">
        <v>49</v>
      </c>
      <c r="G443" s="4">
        <v>5</v>
      </c>
      <c r="H443" s="4">
        <v>27147</v>
      </c>
      <c r="I443" s="4">
        <v>0.01</v>
      </c>
      <c r="J443" s="4">
        <v>135735</v>
      </c>
      <c r="K443" s="4">
        <f t="shared" si="6"/>
        <v>27147</v>
      </c>
      <c r="L443" s="4" t="s">
        <v>61</v>
      </c>
      <c r="M443" s="4" t="s">
        <v>54</v>
      </c>
      <c r="N44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44" spans="1:14">
      <c r="A444" s="6">
        <v>10443</v>
      </c>
      <c r="B444" s="5">
        <v>45412</v>
      </c>
      <c r="C444" s="4" t="s">
        <v>25</v>
      </c>
      <c r="D444" s="4" t="s">
        <v>15</v>
      </c>
      <c r="E444" s="4" t="s">
        <v>21</v>
      </c>
      <c r="F444" s="4" t="s">
        <v>52</v>
      </c>
      <c r="G444" s="4">
        <v>5</v>
      </c>
      <c r="H444" s="4">
        <v>40740</v>
      </c>
      <c r="I444" s="4">
        <v>0</v>
      </c>
      <c r="J444" s="4">
        <v>203700</v>
      </c>
      <c r="K444" s="4">
        <f t="shared" si="6"/>
        <v>61110</v>
      </c>
      <c r="L444" s="4" t="s">
        <v>37</v>
      </c>
      <c r="M444" s="4" t="s">
        <v>19</v>
      </c>
      <c r="N44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45" spans="1:14">
      <c r="A445" s="6">
        <v>10444</v>
      </c>
      <c r="B445" s="5">
        <v>45332</v>
      </c>
      <c r="C445" s="4" t="s">
        <v>48</v>
      </c>
      <c r="D445" s="4" t="s">
        <v>38</v>
      </c>
      <c r="E445" s="4" t="s">
        <v>27</v>
      </c>
      <c r="F445" s="4" t="s">
        <v>64</v>
      </c>
      <c r="G445" s="4">
        <v>6</v>
      </c>
      <c r="H445" s="4">
        <v>27884</v>
      </c>
      <c r="I445" s="4">
        <v>0.01</v>
      </c>
      <c r="J445" s="4">
        <v>167304</v>
      </c>
      <c r="K445" s="4">
        <f t="shared" si="6"/>
        <v>16730.400000000001</v>
      </c>
      <c r="L445" s="4" t="s">
        <v>29</v>
      </c>
      <c r="M445" s="4" t="s">
        <v>30</v>
      </c>
      <c r="N44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46" spans="1:14">
      <c r="A446" s="6">
        <v>10445</v>
      </c>
      <c r="B446" s="5">
        <v>45435</v>
      </c>
      <c r="C446" s="4" t="s">
        <v>43</v>
      </c>
      <c r="D446" s="4" t="s">
        <v>38</v>
      </c>
      <c r="E446" s="4" t="s">
        <v>45</v>
      </c>
      <c r="F446" s="4" t="s">
        <v>46</v>
      </c>
      <c r="G446" s="4">
        <v>6</v>
      </c>
      <c r="H446" s="4">
        <v>47364</v>
      </c>
      <c r="I446" s="4">
        <v>0.02</v>
      </c>
      <c r="J446" s="4">
        <v>284184</v>
      </c>
      <c r="K446" s="4">
        <f t="shared" si="6"/>
        <v>99464.4</v>
      </c>
      <c r="L446" s="4" t="s">
        <v>50</v>
      </c>
      <c r="M446" s="4" t="s">
        <v>19</v>
      </c>
      <c r="N44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47" spans="1:14">
      <c r="A447" s="6">
        <v>10446</v>
      </c>
      <c r="B447" s="5">
        <v>45437</v>
      </c>
      <c r="C447" s="4" t="s">
        <v>31</v>
      </c>
      <c r="D447" s="4" t="s">
        <v>63</v>
      </c>
      <c r="E447" s="4" t="s">
        <v>33</v>
      </c>
      <c r="F447" s="4" t="s">
        <v>34</v>
      </c>
      <c r="G447" s="4">
        <v>1</v>
      </c>
      <c r="H447" s="4">
        <v>45278</v>
      </c>
      <c r="I447" s="4">
        <v>0.05</v>
      </c>
      <c r="J447" s="4">
        <v>45278</v>
      </c>
      <c r="K447" s="4">
        <f t="shared" si="6"/>
        <v>11319.5</v>
      </c>
      <c r="L447" s="4" t="s">
        <v>50</v>
      </c>
      <c r="M447" s="4" t="s">
        <v>19</v>
      </c>
      <c r="N44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48" spans="1:14">
      <c r="A448" s="6">
        <v>10447</v>
      </c>
      <c r="B448" s="5">
        <v>45387</v>
      </c>
      <c r="C448" s="4" t="s">
        <v>31</v>
      </c>
      <c r="D448" s="4" t="s">
        <v>36</v>
      </c>
      <c r="E448" s="4" t="s">
        <v>33</v>
      </c>
      <c r="F448" s="4" t="s">
        <v>34</v>
      </c>
      <c r="G448" s="4">
        <v>6</v>
      </c>
      <c r="H448" s="4">
        <v>14045</v>
      </c>
      <c r="I448" s="4">
        <v>0</v>
      </c>
      <c r="J448" s="4">
        <v>84270</v>
      </c>
      <c r="K448" s="4">
        <f t="shared" si="6"/>
        <v>21067.5</v>
      </c>
      <c r="L448" s="4" t="s">
        <v>37</v>
      </c>
      <c r="M448" s="4" t="s">
        <v>19</v>
      </c>
      <c r="N44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49" spans="1:14">
      <c r="A449" s="6">
        <v>10448</v>
      </c>
      <c r="B449" s="5">
        <v>45492</v>
      </c>
      <c r="C449" s="4" t="s">
        <v>48</v>
      </c>
      <c r="D449" s="4" t="s">
        <v>20</v>
      </c>
      <c r="E449" s="4" t="s">
        <v>21</v>
      </c>
      <c r="F449" s="4" t="s">
        <v>56</v>
      </c>
      <c r="G449" s="4">
        <v>3</v>
      </c>
      <c r="H449" s="4">
        <v>44939</v>
      </c>
      <c r="I449" s="4">
        <v>0.01</v>
      </c>
      <c r="J449" s="4">
        <v>134817</v>
      </c>
      <c r="K449" s="4">
        <f t="shared" si="6"/>
        <v>40445.1</v>
      </c>
      <c r="L449" s="4" t="s">
        <v>53</v>
      </c>
      <c r="M449" s="4" t="s">
        <v>54</v>
      </c>
      <c r="N44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50" spans="1:14">
      <c r="A450" s="6">
        <v>10449</v>
      </c>
      <c r="B450" s="5">
        <v>45388</v>
      </c>
      <c r="C450" s="4" t="s">
        <v>48</v>
      </c>
      <c r="D450" s="4" t="s">
        <v>63</v>
      </c>
      <c r="E450" s="4" t="s">
        <v>45</v>
      </c>
      <c r="F450" s="4" t="s">
        <v>46</v>
      </c>
      <c r="G450" s="4">
        <v>7</v>
      </c>
      <c r="H450" s="4">
        <v>4630</v>
      </c>
      <c r="I450" s="4">
        <v>0.01</v>
      </c>
      <c r="J450" s="4">
        <v>32410</v>
      </c>
      <c r="K450" s="4">
        <f t="shared" ref="K450:K513" si="7">J450*N450</f>
        <v>11343.5</v>
      </c>
      <c r="L450" s="4" t="s">
        <v>37</v>
      </c>
      <c r="M450" s="4" t="s">
        <v>19</v>
      </c>
      <c r="N45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51" spans="1:14">
      <c r="A451" s="6">
        <v>10450</v>
      </c>
      <c r="B451" s="5">
        <v>45528</v>
      </c>
      <c r="C451" s="4" t="s">
        <v>35</v>
      </c>
      <c r="D451" s="4" t="s">
        <v>38</v>
      </c>
      <c r="E451" s="4" t="s">
        <v>45</v>
      </c>
      <c r="F451" s="4" t="s">
        <v>46</v>
      </c>
      <c r="G451" s="4">
        <v>1</v>
      </c>
      <c r="H451" s="4">
        <v>20389</v>
      </c>
      <c r="I451" s="4">
        <v>0</v>
      </c>
      <c r="J451" s="4">
        <v>20389</v>
      </c>
      <c r="K451" s="4">
        <f t="shared" si="7"/>
        <v>7136.15</v>
      </c>
      <c r="L451" s="4" t="s">
        <v>61</v>
      </c>
      <c r="M451" s="4" t="s">
        <v>54</v>
      </c>
      <c r="N45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52" spans="1:14">
      <c r="A452" s="6">
        <v>10451</v>
      </c>
      <c r="B452" s="5">
        <v>45471</v>
      </c>
      <c r="C452" s="4" t="s">
        <v>14</v>
      </c>
      <c r="D452" s="4" t="s">
        <v>15</v>
      </c>
      <c r="E452" s="4" t="s">
        <v>21</v>
      </c>
      <c r="F452" s="4" t="s">
        <v>56</v>
      </c>
      <c r="G452" s="4">
        <v>2</v>
      </c>
      <c r="H452" s="4">
        <v>31049</v>
      </c>
      <c r="I452" s="4">
        <v>0.02</v>
      </c>
      <c r="J452" s="4">
        <v>62098</v>
      </c>
      <c r="K452" s="4">
        <f t="shared" si="7"/>
        <v>18629.399999999998</v>
      </c>
      <c r="L452" s="4" t="s">
        <v>18</v>
      </c>
      <c r="M452" s="4" t="s">
        <v>19</v>
      </c>
      <c r="N45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53" spans="1:14">
      <c r="A453" s="6">
        <v>10452</v>
      </c>
      <c r="B453" s="5">
        <v>45306</v>
      </c>
      <c r="C453" s="4" t="s">
        <v>35</v>
      </c>
      <c r="D453" s="4" t="s">
        <v>63</v>
      </c>
      <c r="E453" s="4" t="s">
        <v>33</v>
      </c>
      <c r="F453" s="4" t="s">
        <v>59</v>
      </c>
      <c r="G453" s="4">
        <v>8</v>
      </c>
      <c r="H453" s="4">
        <v>49409</v>
      </c>
      <c r="I453" s="4">
        <v>0</v>
      </c>
      <c r="J453" s="4">
        <v>395272</v>
      </c>
      <c r="K453" s="4">
        <f t="shared" si="7"/>
        <v>98818</v>
      </c>
      <c r="L453" s="4" t="s">
        <v>67</v>
      </c>
      <c r="M453" s="4" t="s">
        <v>30</v>
      </c>
      <c r="N45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54" spans="1:14">
      <c r="A454" s="6">
        <v>10453</v>
      </c>
      <c r="B454" s="5">
        <v>45451</v>
      </c>
      <c r="C454" s="4" t="s">
        <v>25</v>
      </c>
      <c r="D454" s="4" t="s">
        <v>32</v>
      </c>
      <c r="E454" s="4" t="s">
        <v>33</v>
      </c>
      <c r="F454" s="4" t="s">
        <v>34</v>
      </c>
      <c r="G454" s="4">
        <v>7</v>
      </c>
      <c r="H454" s="4">
        <v>31009</v>
      </c>
      <c r="I454" s="4">
        <v>0</v>
      </c>
      <c r="J454" s="4">
        <v>217063</v>
      </c>
      <c r="K454" s="4">
        <f t="shared" si="7"/>
        <v>54265.75</v>
      </c>
      <c r="L454" s="4" t="s">
        <v>18</v>
      </c>
      <c r="M454" s="4" t="s">
        <v>19</v>
      </c>
      <c r="N45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55" spans="1:14">
      <c r="A455" s="6">
        <v>10454</v>
      </c>
      <c r="B455" s="5">
        <v>45387</v>
      </c>
      <c r="C455" s="4" t="s">
        <v>25</v>
      </c>
      <c r="D455" s="4" t="s">
        <v>38</v>
      </c>
      <c r="E455" s="4" t="s">
        <v>16</v>
      </c>
      <c r="F455" s="4" t="s">
        <v>17</v>
      </c>
      <c r="G455" s="4">
        <v>3</v>
      </c>
      <c r="H455" s="4">
        <v>41142</v>
      </c>
      <c r="I455" s="4">
        <v>0</v>
      </c>
      <c r="J455" s="4">
        <v>123426</v>
      </c>
      <c r="K455" s="4">
        <f t="shared" si="7"/>
        <v>24685.200000000001</v>
      </c>
      <c r="L455" s="4" t="s">
        <v>37</v>
      </c>
      <c r="M455" s="4" t="s">
        <v>19</v>
      </c>
      <c r="N45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56" spans="1:14">
      <c r="A456" s="6">
        <v>10455</v>
      </c>
      <c r="B456" s="5">
        <v>45296</v>
      </c>
      <c r="C456" s="4" t="s">
        <v>48</v>
      </c>
      <c r="D456" s="4" t="s">
        <v>38</v>
      </c>
      <c r="E456" s="4" t="s">
        <v>21</v>
      </c>
      <c r="F456" s="4" t="s">
        <v>22</v>
      </c>
      <c r="G456" s="4">
        <v>8</v>
      </c>
      <c r="H456" s="4">
        <v>34272</v>
      </c>
      <c r="I456" s="4">
        <v>0.01</v>
      </c>
      <c r="J456" s="4">
        <v>274176</v>
      </c>
      <c r="K456" s="4">
        <f t="shared" si="7"/>
        <v>82252.800000000003</v>
      </c>
      <c r="L456" s="4" t="s">
        <v>67</v>
      </c>
      <c r="M456" s="4" t="s">
        <v>30</v>
      </c>
      <c r="N45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57" spans="1:14">
      <c r="A457" s="6">
        <v>10456</v>
      </c>
      <c r="B457" s="5">
        <v>45599</v>
      </c>
      <c r="C457" s="4" t="s">
        <v>48</v>
      </c>
      <c r="D457" s="4" t="s">
        <v>38</v>
      </c>
      <c r="E457" s="4" t="s">
        <v>27</v>
      </c>
      <c r="F457" s="4" t="s">
        <v>64</v>
      </c>
      <c r="G457" s="4">
        <v>7</v>
      </c>
      <c r="H457" s="4">
        <v>1717</v>
      </c>
      <c r="I457" s="4">
        <v>0</v>
      </c>
      <c r="J457" s="4">
        <v>12019</v>
      </c>
      <c r="K457" s="4">
        <f t="shared" si="7"/>
        <v>1201.9000000000001</v>
      </c>
      <c r="L457" s="4" t="s">
        <v>47</v>
      </c>
      <c r="M457" s="4" t="s">
        <v>24</v>
      </c>
      <c r="N45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58" spans="1:14">
      <c r="A458" s="6">
        <v>10457</v>
      </c>
      <c r="B458" s="5">
        <v>45397</v>
      </c>
      <c r="C458" s="4" t="s">
        <v>35</v>
      </c>
      <c r="D458" s="4" t="s">
        <v>38</v>
      </c>
      <c r="E458" s="4" t="s">
        <v>27</v>
      </c>
      <c r="F458" s="4" t="s">
        <v>64</v>
      </c>
      <c r="G458" s="4">
        <v>8</v>
      </c>
      <c r="H458" s="4">
        <v>24185</v>
      </c>
      <c r="I458" s="4">
        <v>0.02</v>
      </c>
      <c r="J458" s="4">
        <v>193480</v>
      </c>
      <c r="K458" s="4">
        <f t="shared" si="7"/>
        <v>19348</v>
      </c>
      <c r="L458" s="4" t="s">
        <v>37</v>
      </c>
      <c r="M458" s="4" t="s">
        <v>19</v>
      </c>
      <c r="N45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59" spans="1:14">
      <c r="A459" s="6">
        <v>10458</v>
      </c>
      <c r="B459" s="5">
        <v>45577</v>
      </c>
      <c r="C459" s="4" t="s">
        <v>48</v>
      </c>
      <c r="D459" s="4" t="s">
        <v>38</v>
      </c>
      <c r="E459" s="4" t="s">
        <v>21</v>
      </c>
      <c r="F459" s="4" t="s">
        <v>52</v>
      </c>
      <c r="G459" s="4">
        <v>8</v>
      </c>
      <c r="H459" s="4">
        <v>11531</v>
      </c>
      <c r="I459" s="4">
        <v>0.02</v>
      </c>
      <c r="J459" s="4">
        <v>92248</v>
      </c>
      <c r="K459" s="4">
        <f t="shared" si="7"/>
        <v>27674.399999999998</v>
      </c>
      <c r="L459" s="4" t="s">
        <v>58</v>
      </c>
      <c r="M459" s="4" t="s">
        <v>24</v>
      </c>
      <c r="N45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60" spans="1:14">
      <c r="A460" s="6">
        <v>10459</v>
      </c>
      <c r="B460" s="5">
        <v>45339</v>
      </c>
      <c r="C460" s="4" t="s">
        <v>35</v>
      </c>
      <c r="D460" s="4" t="s">
        <v>36</v>
      </c>
      <c r="E460" s="4" t="s">
        <v>16</v>
      </c>
      <c r="F460" s="4" t="s">
        <v>49</v>
      </c>
      <c r="G460" s="4">
        <v>2</v>
      </c>
      <c r="H460" s="4">
        <v>7476</v>
      </c>
      <c r="I460" s="4">
        <v>0</v>
      </c>
      <c r="J460" s="4">
        <v>14952</v>
      </c>
      <c r="K460" s="4">
        <f t="shared" si="7"/>
        <v>2990.4</v>
      </c>
      <c r="L460" s="4" t="s">
        <v>29</v>
      </c>
      <c r="M460" s="4" t="s">
        <v>30</v>
      </c>
      <c r="N46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61" spans="1:14">
      <c r="A461" s="6">
        <v>10460</v>
      </c>
      <c r="B461" s="5">
        <v>45297</v>
      </c>
      <c r="C461" s="4" t="s">
        <v>43</v>
      </c>
      <c r="D461" s="4" t="s">
        <v>20</v>
      </c>
      <c r="E461" s="4" t="s">
        <v>45</v>
      </c>
      <c r="F461" s="4" t="s">
        <v>57</v>
      </c>
      <c r="G461" s="4">
        <v>3</v>
      </c>
      <c r="H461" s="4">
        <v>15162</v>
      </c>
      <c r="I461" s="4">
        <v>0.02</v>
      </c>
      <c r="J461" s="4">
        <v>45486</v>
      </c>
      <c r="K461" s="4">
        <f t="shared" si="7"/>
        <v>15920.099999999999</v>
      </c>
      <c r="L461" s="4" t="s">
        <v>67</v>
      </c>
      <c r="M461" s="4" t="s">
        <v>30</v>
      </c>
      <c r="N46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62" spans="1:14">
      <c r="A462" s="6">
        <v>10461</v>
      </c>
      <c r="B462" s="5">
        <v>45404</v>
      </c>
      <c r="C462" s="4" t="s">
        <v>48</v>
      </c>
      <c r="D462" s="4" t="s">
        <v>44</v>
      </c>
      <c r="E462" s="4" t="s">
        <v>27</v>
      </c>
      <c r="F462" s="4" t="s">
        <v>64</v>
      </c>
      <c r="G462" s="4">
        <v>4</v>
      </c>
      <c r="H462" s="4">
        <v>3890</v>
      </c>
      <c r="I462" s="4">
        <v>0.01</v>
      </c>
      <c r="J462" s="4">
        <v>15560</v>
      </c>
      <c r="K462" s="4">
        <f t="shared" si="7"/>
        <v>1556</v>
      </c>
      <c r="L462" s="4" t="s">
        <v>37</v>
      </c>
      <c r="M462" s="4" t="s">
        <v>19</v>
      </c>
      <c r="N46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63" spans="1:14">
      <c r="A463" s="6">
        <v>10462</v>
      </c>
      <c r="B463" s="5">
        <v>45636</v>
      </c>
      <c r="C463" s="4" t="s">
        <v>43</v>
      </c>
      <c r="D463" s="4" t="s">
        <v>36</v>
      </c>
      <c r="E463" s="4" t="s">
        <v>27</v>
      </c>
      <c r="F463" s="4" t="s">
        <v>62</v>
      </c>
      <c r="G463" s="4">
        <v>1</v>
      </c>
      <c r="H463" s="4">
        <v>49008</v>
      </c>
      <c r="I463" s="4">
        <v>0.05</v>
      </c>
      <c r="J463" s="4">
        <v>49008</v>
      </c>
      <c r="K463" s="4">
        <f t="shared" si="7"/>
        <v>4900.8</v>
      </c>
      <c r="L463" s="4" t="s">
        <v>23</v>
      </c>
      <c r="M463" s="4" t="s">
        <v>24</v>
      </c>
      <c r="N46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64" spans="1:14">
      <c r="A464" s="6">
        <v>10463</v>
      </c>
      <c r="B464" s="5">
        <v>45326</v>
      </c>
      <c r="C464" s="4" t="s">
        <v>25</v>
      </c>
      <c r="D464" s="4" t="s">
        <v>44</v>
      </c>
      <c r="E464" s="4" t="s">
        <v>21</v>
      </c>
      <c r="F464" s="4" t="s">
        <v>22</v>
      </c>
      <c r="G464" s="4">
        <v>8</v>
      </c>
      <c r="H464" s="4">
        <v>17633</v>
      </c>
      <c r="I464" s="4">
        <v>0.01</v>
      </c>
      <c r="J464" s="4">
        <v>141064</v>
      </c>
      <c r="K464" s="4">
        <f t="shared" si="7"/>
        <v>42319.199999999997</v>
      </c>
      <c r="L464" s="4" t="s">
        <v>29</v>
      </c>
      <c r="M464" s="4" t="s">
        <v>30</v>
      </c>
      <c r="N46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65" spans="1:14">
      <c r="A465" s="6">
        <v>10464</v>
      </c>
      <c r="B465" s="5">
        <v>45564</v>
      </c>
      <c r="C465" s="4" t="s">
        <v>14</v>
      </c>
      <c r="D465" s="4" t="s">
        <v>44</v>
      </c>
      <c r="E465" s="4" t="s">
        <v>33</v>
      </c>
      <c r="F465" s="4" t="s">
        <v>34</v>
      </c>
      <c r="G465" s="4">
        <v>1</v>
      </c>
      <c r="H465" s="4">
        <v>45386</v>
      </c>
      <c r="I465" s="4">
        <v>0</v>
      </c>
      <c r="J465" s="4">
        <v>45386</v>
      </c>
      <c r="K465" s="4">
        <f t="shared" si="7"/>
        <v>11346.5</v>
      </c>
      <c r="L465" s="4" t="s">
        <v>55</v>
      </c>
      <c r="M465" s="4" t="s">
        <v>54</v>
      </c>
      <c r="N46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66" spans="1:14">
      <c r="A466" s="6">
        <v>10465</v>
      </c>
      <c r="B466" s="5">
        <v>45426</v>
      </c>
      <c r="C466" s="4" t="s">
        <v>31</v>
      </c>
      <c r="D466" s="4" t="s">
        <v>38</v>
      </c>
      <c r="E466" s="4" t="s">
        <v>33</v>
      </c>
      <c r="F466" s="4" t="s">
        <v>66</v>
      </c>
      <c r="G466" s="4">
        <v>6</v>
      </c>
      <c r="H466" s="4">
        <v>36740</v>
      </c>
      <c r="I466" s="4">
        <v>0.01</v>
      </c>
      <c r="J466" s="4">
        <v>220440</v>
      </c>
      <c r="K466" s="4">
        <f t="shared" si="7"/>
        <v>55110</v>
      </c>
      <c r="L466" s="4" t="s">
        <v>50</v>
      </c>
      <c r="M466" s="4" t="s">
        <v>19</v>
      </c>
      <c r="N46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67" spans="1:14">
      <c r="A467" s="6">
        <v>10466</v>
      </c>
      <c r="B467" s="5">
        <v>45416</v>
      </c>
      <c r="C467" s="4" t="s">
        <v>14</v>
      </c>
      <c r="D467" s="4" t="s">
        <v>44</v>
      </c>
      <c r="E467" s="4" t="s">
        <v>27</v>
      </c>
      <c r="F467" s="4" t="s">
        <v>28</v>
      </c>
      <c r="G467" s="4">
        <v>5</v>
      </c>
      <c r="H467" s="4">
        <v>23260</v>
      </c>
      <c r="I467" s="4">
        <v>0.01</v>
      </c>
      <c r="J467" s="4">
        <v>116300</v>
      </c>
      <c r="K467" s="4">
        <f t="shared" si="7"/>
        <v>11630</v>
      </c>
      <c r="L467" s="4" t="s">
        <v>50</v>
      </c>
      <c r="M467" s="4" t="s">
        <v>19</v>
      </c>
      <c r="N46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68" spans="1:14">
      <c r="A468" s="6">
        <v>10467</v>
      </c>
      <c r="B468" s="5">
        <v>45349</v>
      </c>
      <c r="C468" s="4" t="s">
        <v>48</v>
      </c>
      <c r="D468" s="4" t="s">
        <v>51</v>
      </c>
      <c r="E468" s="4" t="s">
        <v>33</v>
      </c>
      <c r="F468" s="4" t="s">
        <v>66</v>
      </c>
      <c r="G468" s="4">
        <v>8</v>
      </c>
      <c r="H468" s="4">
        <v>39712</v>
      </c>
      <c r="I468" s="4">
        <v>0.05</v>
      </c>
      <c r="J468" s="4">
        <v>317696</v>
      </c>
      <c r="K468" s="4">
        <f t="shared" si="7"/>
        <v>79424</v>
      </c>
      <c r="L468" s="4" t="s">
        <v>29</v>
      </c>
      <c r="M468" s="4" t="s">
        <v>30</v>
      </c>
      <c r="N46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69" spans="1:14">
      <c r="A469" s="6">
        <v>10468</v>
      </c>
      <c r="B469" s="5">
        <v>45555</v>
      </c>
      <c r="C469" s="4" t="s">
        <v>31</v>
      </c>
      <c r="D469" s="4" t="s">
        <v>15</v>
      </c>
      <c r="E469" s="4" t="s">
        <v>45</v>
      </c>
      <c r="F469" s="4" t="s">
        <v>60</v>
      </c>
      <c r="G469" s="4">
        <v>2</v>
      </c>
      <c r="H469" s="4">
        <v>7539</v>
      </c>
      <c r="I469" s="4">
        <v>0.02</v>
      </c>
      <c r="J469" s="4">
        <v>15078</v>
      </c>
      <c r="K469" s="4">
        <f t="shared" si="7"/>
        <v>5277.2999999999993</v>
      </c>
      <c r="L469" s="4" t="s">
        <v>55</v>
      </c>
      <c r="M469" s="4" t="s">
        <v>54</v>
      </c>
      <c r="N46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70" spans="1:14">
      <c r="A470" s="6">
        <v>10469</v>
      </c>
      <c r="B470" s="5">
        <v>45517</v>
      </c>
      <c r="C470" s="4" t="s">
        <v>48</v>
      </c>
      <c r="D470" s="4" t="s">
        <v>38</v>
      </c>
      <c r="E470" s="4" t="s">
        <v>16</v>
      </c>
      <c r="F470" s="4" t="s">
        <v>17</v>
      </c>
      <c r="G470" s="4">
        <v>3</v>
      </c>
      <c r="H470" s="4">
        <v>13226</v>
      </c>
      <c r="I470" s="4">
        <v>0.01</v>
      </c>
      <c r="J470" s="4">
        <v>39678</v>
      </c>
      <c r="K470" s="4">
        <f t="shared" si="7"/>
        <v>7935.6</v>
      </c>
      <c r="L470" s="4" t="s">
        <v>61</v>
      </c>
      <c r="M470" s="4" t="s">
        <v>54</v>
      </c>
      <c r="N47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471" spans="1:14">
      <c r="A471" s="6">
        <v>10470</v>
      </c>
      <c r="B471" s="5">
        <v>45296</v>
      </c>
      <c r="C471" s="4" t="s">
        <v>14</v>
      </c>
      <c r="D471" s="4" t="s">
        <v>44</v>
      </c>
      <c r="E471" s="4" t="s">
        <v>33</v>
      </c>
      <c r="F471" s="4" t="s">
        <v>59</v>
      </c>
      <c r="G471" s="4">
        <v>7</v>
      </c>
      <c r="H471" s="4">
        <v>8957</v>
      </c>
      <c r="I471" s="4">
        <v>0.01</v>
      </c>
      <c r="J471" s="4">
        <v>62699</v>
      </c>
      <c r="K471" s="4">
        <f t="shared" si="7"/>
        <v>15674.75</v>
      </c>
      <c r="L471" s="4" t="s">
        <v>67</v>
      </c>
      <c r="M471" s="4" t="s">
        <v>30</v>
      </c>
      <c r="N47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72" spans="1:14">
      <c r="A472" s="6">
        <v>10471</v>
      </c>
      <c r="B472" s="5">
        <v>45349</v>
      </c>
      <c r="C472" s="4" t="s">
        <v>48</v>
      </c>
      <c r="D472" s="4" t="s">
        <v>51</v>
      </c>
      <c r="E472" s="4" t="s">
        <v>45</v>
      </c>
      <c r="F472" s="4" t="s">
        <v>46</v>
      </c>
      <c r="G472" s="4">
        <v>4</v>
      </c>
      <c r="H472" s="4">
        <v>21324</v>
      </c>
      <c r="I472" s="4">
        <v>0.05</v>
      </c>
      <c r="J472" s="4">
        <v>85296</v>
      </c>
      <c r="K472" s="4">
        <f t="shared" si="7"/>
        <v>29853.599999999999</v>
      </c>
      <c r="L472" s="4" t="s">
        <v>29</v>
      </c>
      <c r="M472" s="4" t="s">
        <v>30</v>
      </c>
      <c r="N47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73" spans="1:14">
      <c r="A473" s="6">
        <v>10472</v>
      </c>
      <c r="B473" s="5">
        <v>45336</v>
      </c>
      <c r="C473" s="4" t="s">
        <v>35</v>
      </c>
      <c r="D473" s="4" t="s">
        <v>26</v>
      </c>
      <c r="E473" s="4" t="s">
        <v>45</v>
      </c>
      <c r="F473" s="4" t="s">
        <v>57</v>
      </c>
      <c r="G473" s="4">
        <v>6</v>
      </c>
      <c r="H473" s="4">
        <v>16228</v>
      </c>
      <c r="I473" s="4">
        <v>0</v>
      </c>
      <c r="J473" s="4">
        <v>97368</v>
      </c>
      <c r="K473" s="4">
        <f t="shared" si="7"/>
        <v>34078.799999999996</v>
      </c>
      <c r="L473" s="4" t="s">
        <v>29</v>
      </c>
      <c r="M473" s="4" t="s">
        <v>30</v>
      </c>
      <c r="N47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74" spans="1:14">
      <c r="A474" s="6">
        <v>10473</v>
      </c>
      <c r="B474" s="5">
        <v>45514</v>
      </c>
      <c r="C474" s="4" t="s">
        <v>14</v>
      </c>
      <c r="D474" s="4" t="s">
        <v>26</v>
      </c>
      <c r="E474" s="4" t="s">
        <v>33</v>
      </c>
      <c r="F474" s="4" t="s">
        <v>34</v>
      </c>
      <c r="G474" s="4">
        <v>9</v>
      </c>
      <c r="H474" s="4">
        <v>3103</v>
      </c>
      <c r="I474" s="4">
        <v>0.01</v>
      </c>
      <c r="J474" s="4">
        <v>27927</v>
      </c>
      <c r="K474" s="4">
        <f t="shared" si="7"/>
        <v>6981.75</v>
      </c>
      <c r="L474" s="4" t="s">
        <v>61</v>
      </c>
      <c r="M474" s="4" t="s">
        <v>54</v>
      </c>
      <c r="N47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75" spans="1:14">
      <c r="A475" s="6">
        <v>10474</v>
      </c>
      <c r="B475" s="5">
        <v>45631</v>
      </c>
      <c r="C475" s="4" t="s">
        <v>35</v>
      </c>
      <c r="D475" s="4" t="s">
        <v>26</v>
      </c>
      <c r="E475" s="4" t="s">
        <v>33</v>
      </c>
      <c r="F475" s="4" t="s">
        <v>66</v>
      </c>
      <c r="G475" s="4">
        <v>2</v>
      </c>
      <c r="H475" s="4">
        <v>33001</v>
      </c>
      <c r="I475" s="4">
        <v>0.05</v>
      </c>
      <c r="J475" s="4">
        <v>66002</v>
      </c>
      <c r="K475" s="4">
        <f t="shared" si="7"/>
        <v>16500.5</v>
      </c>
      <c r="L475" s="4" t="s">
        <v>23</v>
      </c>
      <c r="M475" s="4" t="s">
        <v>24</v>
      </c>
      <c r="N47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76" spans="1:14">
      <c r="A476" s="6">
        <v>10475</v>
      </c>
      <c r="B476" s="5">
        <v>45489</v>
      </c>
      <c r="C476" s="4" t="s">
        <v>43</v>
      </c>
      <c r="D476" s="4" t="s">
        <v>44</v>
      </c>
      <c r="E476" s="4" t="s">
        <v>33</v>
      </c>
      <c r="F476" s="4" t="s">
        <v>34</v>
      </c>
      <c r="G476" s="4">
        <v>3</v>
      </c>
      <c r="H476" s="4">
        <v>38228</v>
      </c>
      <c r="I476" s="4">
        <v>0.02</v>
      </c>
      <c r="J476" s="4">
        <v>114684</v>
      </c>
      <c r="K476" s="4">
        <f t="shared" si="7"/>
        <v>28671</v>
      </c>
      <c r="L476" s="4" t="s">
        <v>53</v>
      </c>
      <c r="M476" s="4" t="s">
        <v>54</v>
      </c>
      <c r="N47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77" spans="1:14">
      <c r="A477" s="6">
        <v>10476</v>
      </c>
      <c r="B477" s="5">
        <v>45614</v>
      </c>
      <c r="C477" s="4" t="s">
        <v>25</v>
      </c>
      <c r="D477" s="4" t="s">
        <v>32</v>
      </c>
      <c r="E477" s="4" t="s">
        <v>33</v>
      </c>
      <c r="F477" s="4" t="s">
        <v>59</v>
      </c>
      <c r="G477" s="4">
        <v>4</v>
      </c>
      <c r="H477" s="4">
        <v>11698</v>
      </c>
      <c r="I477" s="4">
        <v>0.02</v>
      </c>
      <c r="J477" s="4">
        <v>46792</v>
      </c>
      <c r="K477" s="4">
        <f t="shared" si="7"/>
        <v>11698</v>
      </c>
      <c r="L477" s="4" t="s">
        <v>47</v>
      </c>
      <c r="M477" s="4" t="s">
        <v>24</v>
      </c>
      <c r="N47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78" spans="1:14">
      <c r="A478" s="6">
        <v>10477</v>
      </c>
      <c r="B478" s="5">
        <v>45571</v>
      </c>
      <c r="C478" s="4" t="s">
        <v>31</v>
      </c>
      <c r="D478" s="4" t="s">
        <v>41</v>
      </c>
      <c r="E478" s="4" t="s">
        <v>27</v>
      </c>
      <c r="F478" s="4" t="s">
        <v>62</v>
      </c>
      <c r="G478" s="4">
        <v>3</v>
      </c>
      <c r="H478" s="4">
        <v>48701</v>
      </c>
      <c r="I478" s="4">
        <v>0.01</v>
      </c>
      <c r="J478" s="4">
        <v>146103</v>
      </c>
      <c r="K478" s="4">
        <f t="shared" si="7"/>
        <v>14610.300000000001</v>
      </c>
      <c r="L478" s="4" t="s">
        <v>58</v>
      </c>
      <c r="M478" s="4" t="s">
        <v>24</v>
      </c>
      <c r="N47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79" spans="1:14">
      <c r="A479" s="6">
        <v>10478</v>
      </c>
      <c r="B479" s="5">
        <v>45538</v>
      </c>
      <c r="C479" s="4" t="s">
        <v>31</v>
      </c>
      <c r="D479" s="4" t="s">
        <v>63</v>
      </c>
      <c r="E479" s="4" t="s">
        <v>21</v>
      </c>
      <c r="F479" s="4" t="s">
        <v>22</v>
      </c>
      <c r="G479" s="4">
        <v>3</v>
      </c>
      <c r="H479" s="4">
        <v>47287</v>
      </c>
      <c r="I479" s="4">
        <v>0</v>
      </c>
      <c r="J479" s="4">
        <v>141861</v>
      </c>
      <c r="K479" s="4">
        <f t="shared" si="7"/>
        <v>42558.299999999996</v>
      </c>
      <c r="L479" s="4" t="s">
        <v>55</v>
      </c>
      <c r="M479" s="4" t="s">
        <v>54</v>
      </c>
      <c r="N47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80" spans="1:14">
      <c r="A480" s="6">
        <v>10479</v>
      </c>
      <c r="B480" s="5">
        <v>45518</v>
      </c>
      <c r="C480" s="4" t="s">
        <v>25</v>
      </c>
      <c r="D480" s="4" t="s">
        <v>44</v>
      </c>
      <c r="E480" s="4" t="s">
        <v>21</v>
      </c>
      <c r="F480" s="4" t="s">
        <v>56</v>
      </c>
      <c r="G480" s="4">
        <v>3</v>
      </c>
      <c r="H480" s="4">
        <v>11922</v>
      </c>
      <c r="I480" s="4">
        <v>0.01</v>
      </c>
      <c r="J480" s="4">
        <v>35766</v>
      </c>
      <c r="K480" s="4">
        <f t="shared" si="7"/>
        <v>10729.8</v>
      </c>
      <c r="L480" s="4" t="s">
        <v>61</v>
      </c>
      <c r="M480" s="4" t="s">
        <v>54</v>
      </c>
      <c r="N48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81" spans="1:14">
      <c r="A481" s="6">
        <v>10480</v>
      </c>
      <c r="B481" s="5">
        <v>45575</v>
      </c>
      <c r="C481" s="4" t="s">
        <v>31</v>
      </c>
      <c r="D481" s="4" t="s">
        <v>32</v>
      </c>
      <c r="E481" s="4" t="s">
        <v>27</v>
      </c>
      <c r="F481" s="4" t="s">
        <v>28</v>
      </c>
      <c r="G481" s="4">
        <v>7</v>
      </c>
      <c r="H481" s="4">
        <v>23423</v>
      </c>
      <c r="I481" s="4">
        <v>0.02</v>
      </c>
      <c r="J481" s="4">
        <v>163961</v>
      </c>
      <c r="K481" s="4">
        <f t="shared" si="7"/>
        <v>16396.100000000002</v>
      </c>
      <c r="L481" s="4" t="s">
        <v>58</v>
      </c>
      <c r="M481" s="4" t="s">
        <v>24</v>
      </c>
      <c r="N48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82" spans="1:14">
      <c r="A482" s="6">
        <v>10481</v>
      </c>
      <c r="B482" s="5">
        <v>45455</v>
      </c>
      <c r="C482" s="4" t="s">
        <v>43</v>
      </c>
      <c r="D482" s="4" t="s">
        <v>41</v>
      </c>
      <c r="E482" s="4" t="s">
        <v>33</v>
      </c>
      <c r="F482" s="4" t="s">
        <v>66</v>
      </c>
      <c r="G482" s="4">
        <v>3</v>
      </c>
      <c r="H482" s="4">
        <v>23164</v>
      </c>
      <c r="I482" s="4">
        <v>0.05</v>
      </c>
      <c r="J482" s="4">
        <v>69492</v>
      </c>
      <c r="K482" s="4">
        <f t="shared" si="7"/>
        <v>17373</v>
      </c>
      <c r="L482" s="4" t="s">
        <v>18</v>
      </c>
      <c r="M482" s="4" t="s">
        <v>19</v>
      </c>
      <c r="N48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83" spans="1:14">
      <c r="A483" s="6">
        <v>10482</v>
      </c>
      <c r="B483" s="5">
        <v>45619</v>
      </c>
      <c r="C483" s="4" t="s">
        <v>25</v>
      </c>
      <c r="D483" s="4" t="s">
        <v>36</v>
      </c>
      <c r="E483" s="4" t="s">
        <v>21</v>
      </c>
      <c r="F483" s="4" t="s">
        <v>52</v>
      </c>
      <c r="G483" s="4">
        <v>7</v>
      </c>
      <c r="H483" s="4">
        <v>40605</v>
      </c>
      <c r="I483" s="4">
        <v>0.01</v>
      </c>
      <c r="J483" s="4">
        <v>284235</v>
      </c>
      <c r="K483" s="4">
        <f t="shared" si="7"/>
        <v>85270.5</v>
      </c>
      <c r="L483" s="4" t="s">
        <v>47</v>
      </c>
      <c r="M483" s="4" t="s">
        <v>24</v>
      </c>
      <c r="N48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84" spans="1:14">
      <c r="A484" s="6">
        <v>10483</v>
      </c>
      <c r="B484" s="5">
        <v>45338</v>
      </c>
      <c r="C484" s="4" t="s">
        <v>31</v>
      </c>
      <c r="D484" s="4" t="s">
        <v>41</v>
      </c>
      <c r="E484" s="4" t="s">
        <v>27</v>
      </c>
      <c r="F484" s="4" t="s">
        <v>28</v>
      </c>
      <c r="G484" s="4">
        <v>7</v>
      </c>
      <c r="H484" s="4">
        <v>1570</v>
      </c>
      <c r="I484" s="4">
        <v>0.02</v>
      </c>
      <c r="J484" s="4">
        <v>10990</v>
      </c>
      <c r="K484" s="4">
        <f t="shared" si="7"/>
        <v>1099</v>
      </c>
      <c r="L484" s="4" t="s">
        <v>29</v>
      </c>
      <c r="M484" s="4" t="s">
        <v>30</v>
      </c>
      <c r="N48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85" spans="1:14">
      <c r="A485" s="6">
        <v>10484</v>
      </c>
      <c r="B485" s="5">
        <v>45489</v>
      </c>
      <c r="C485" s="4" t="s">
        <v>43</v>
      </c>
      <c r="D485" s="4" t="s">
        <v>15</v>
      </c>
      <c r="E485" s="4" t="s">
        <v>21</v>
      </c>
      <c r="F485" s="4" t="s">
        <v>52</v>
      </c>
      <c r="G485" s="4">
        <v>7</v>
      </c>
      <c r="H485" s="4">
        <v>40104</v>
      </c>
      <c r="I485" s="4">
        <v>0.02</v>
      </c>
      <c r="J485" s="4">
        <v>280728</v>
      </c>
      <c r="K485" s="4">
        <f t="shared" si="7"/>
        <v>84218.4</v>
      </c>
      <c r="L485" s="4" t="s">
        <v>53</v>
      </c>
      <c r="M485" s="4" t="s">
        <v>54</v>
      </c>
      <c r="N48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86" spans="1:14">
      <c r="A486" s="6">
        <v>10485</v>
      </c>
      <c r="B486" s="5">
        <v>45471</v>
      </c>
      <c r="C486" s="4" t="s">
        <v>25</v>
      </c>
      <c r="D486" s="4" t="s">
        <v>36</v>
      </c>
      <c r="E486" s="4" t="s">
        <v>21</v>
      </c>
      <c r="F486" s="4" t="s">
        <v>56</v>
      </c>
      <c r="G486" s="4">
        <v>4</v>
      </c>
      <c r="H486" s="4">
        <v>5529</v>
      </c>
      <c r="I486" s="4">
        <v>0.05</v>
      </c>
      <c r="J486" s="4">
        <v>22116</v>
      </c>
      <c r="K486" s="4">
        <f t="shared" si="7"/>
        <v>6634.8</v>
      </c>
      <c r="L486" s="4" t="s">
        <v>18</v>
      </c>
      <c r="M486" s="4" t="s">
        <v>19</v>
      </c>
      <c r="N48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87" spans="1:14">
      <c r="A487" s="6">
        <v>10486</v>
      </c>
      <c r="B487" s="5">
        <v>45538</v>
      </c>
      <c r="C487" s="4" t="s">
        <v>31</v>
      </c>
      <c r="D487" s="4" t="s">
        <v>51</v>
      </c>
      <c r="E487" s="4" t="s">
        <v>27</v>
      </c>
      <c r="F487" s="4" t="s">
        <v>64</v>
      </c>
      <c r="G487" s="4">
        <v>6</v>
      </c>
      <c r="H487" s="4">
        <v>5627</v>
      </c>
      <c r="I487" s="4">
        <v>0.01</v>
      </c>
      <c r="J487" s="4">
        <v>33762</v>
      </c>
      <c r="K487" s="4">
        <f t="shared" si="7"/>
        <v>3376.2000000000003</v>
      </c>
      <c r="L487" s="4" t="s">
        <v>55</v>
      </c>
      <c r="M487" s="4" t="s">
        <v>54</v>
      </c>
      <c r="N48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88" spans="1:14">
      <c r="A488" s="6">
        <v>10487</v>
      </c>
      <c r="B488" s="5">
        <v>45534</v>
      </c>
      <c r="C488" s="4" t="s">
        <v>35</v>
      </c>
      <c r="D488" s="4" t="s">
        <v>36</v>
      </c>
      <c r="E488" s="4" t="s">
        <v>21</v>
      </c>
      <c r="F488" s="4" t="s">
        <v>52</v>
      </c>
      <c r="G488" s="4">
        <v>5</v>
      </c>
      <c r="H488" s="4">
        <v>26520</v>
      </c>
      <c r="I488" s="4">
        <v>0.01</v>
      </c>
      <c r="J488" s="4">
        <v>132600</v>
      </c>
      <c r="K488" s="4">
        <f t="shared" si="7"/>
        <v>39780</v>
      </c>
      <c r="L488" s="4" t="s">
        <v>61</v>
      </c>
      <c r="M488" s="4" t="s">
        <v>54</v>
      </c>
      <c r="N48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89" spans="1:14">
      <c r="A489" s="6">
        <v>10488</v>
      </c>
      <c r="B489" s="5">
        <v>45637</v>
      </c>
      <c r="C489" s="4" t="s">
        <v>31</v>
      </c>
      <c r="D489" s="4" t="s">
        <v>51</v>
      </c>
      <c r="E489" s="4" t="s">
        <v>21</v>
      </c>
      <c r="F489" s="4" t="s">
        <v>56</v>
      </c>
      <c r="G489" s="4">
        <v>6</v>
      </c>
      <c r="H489" s="4">
        <v>15995</v>
      </c>
      <c r="I489" s="4">
        <v>0.05</v>
      </c>
      <c r="J489" s="4">
        <v>95970</v>
      </c>
      <c r="K489" s="4">
        <f t="shared" si="7"/>
        <v>28791</v>
      </c>
      <c r="L489" s="4" t="s">
        <v>23</v>
      </c>
      <c r="M489" s="4" t="s">
        <v>24</v>
      </c>
      <c r="N48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90" spans="1:14">
      <c r="A490" s="6">
        <v>10489</v>
      </c>
      <c r="B490" s="5">
        <v>45499</v>
      </c>
      <c r="C490" s="4" t="s">
        <v>25</v>
      </c>
      <c r="D490" s="4" t="s">
        <v>44</v>
      </c>
      <c r="E490" s="4" t="s">
        <v>21</v>
      </c>
      <c r="F490" s="4" t="s">
        <v>52</v>
      </c>
      <c r="G490" s="4">
        <v>4</v>
      </c>
      <c r="H490" s="4">
        <v>40350</v>
      </c>
      <c r="I490" s="4">
        <v>0.05</v>
      </c>
      <c r="J490" s="4">
        <v>161400</v>
      </c>
      <c r="K490" s="4">
        <f t="shared" si="7"/>
        <v>48420</v>
      </c>
      <c r="L490" s="4" t="s">
        <v>53</v>
      </c>
      <c r="M490" s="4" t="s">
        <v>54</v>
      </c>
      <c r="N49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91" spans="1:14">
      <c r="A491" s="6">
        <v>10490</v>
      </c>
      <c r="B491" s="5">
        <v>45303</v>
      </c>
      <c r="C491" s="4" t="s">
        <v>43</v>
      </c>
      <c r="D491" s="4" t="s">
        <v>41</v>
      </c>
      <c r="E491" s="4" t="s">
        <v>33</v>
      </c>
      <c r="F491" s="4" t="s">
        <v>66</v>
      </c>
      <c r="G491" s="4">
        <v>7</v>
      </c>
      <c r="H491" s="4">
        <v>23615</v>
      </c>
      <c r="I491" s="4">
        <v>0.05</v>
      </c>
      <c r="J491" s="4">
        <v>165305</v>
      </c>
      <c r="K491" s="4">
        <f t="shared" si="7"/>
        <v>41326.25</v>
      </c>
      <c r="L491" s="4" t="s">
        <v>67</v>
      </c>
      <c r="M491" s="4" t="s">
        <v>30</v>
      </c>
      <c r="N49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92" spans="1:14">
      <c r="A492" s="6">
        <v>10491</v>
      </c>
      <c r="B492" s="5">
        <v>45493</v>
      </c>
      <c r="C492" s="4" t="s">
        <v>31</v>
      </c>
      <c r="D492" s="4" t="s">
        <v>41</v>
      </c>
      <c r="E492" s="4" t="s">
        <v>27</v>
      </c>
      <c r="F492" s="4" t="s">
        <v>64</v>
      </c>
      <c r="G492" s="4">
        <v>1</v>
      </c>
      <c r="H492" s="4">
        <v>47830</v>
      </c>
      <c r="I492" s="4">
        <v>0.02</v>
      </c>
      <c r="J492" s="4">
        <v>47830</v>
      </c>
      <c r="K492" s="4">
        <f t="shared" si="7"/>
        <v>4783</v>
      </c>
      <c r="L492" s="4" t="s">
        <v>53</v>
      </c>
      <c r="M492" s="4" t="s">
        <v>54</v>
      </c>
      <c r="N49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93" spans="1:14">
      <c r="A493" s="6">
        <v>10492</v>
      </c>
      <c r="B493" s="5">
        <v>45293</v>
      </c>
      <c r="C493" s="4" t="s">
        <v>48</v>
      </c>
      <c r="D493" s="4" t="s">
        <v>44</v>
      </c>
      <c r="E493" s="4" t="s">
        <v>33</v>
      </c>
      <c r="F493" s="4" t="s">
        <v>34</v>
      </c>
      <c r="G493" s="4">
        <v>7</v>
      </c>
      <c r="H493" s="4">
        <v>6750</v>
      </c>
      <c r="I493" s="4">
        <v>0.05</v>
      </c>
      <c r="J493" s="4">
        <v>47250</v>
      </c>
      <c r="K493" s="4">
        <f t="shared" si="7"/>
        <v>11812.5</v>
      </c>
      <c r="L493" s="4" t="s">
        <v>67</v>
      </c>
      <c r="M493" s="4" t="s">
        <v>30</v>
      </c>
      <c r="N49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94" spans="1:14">
      <c r="A494" s="6">
        <v>10493</v>
      </c>
      <c r="B494" s="5">
        <v>45293</v>
      </c>
      <c r="C494" s="4" t="s">
        <v>35</v>
      </c>
      <c r="D494" s="4" t="s">
        <v>32</v>
      </c>
      <c r="E494" s="4" t="s">
        <v>21</v>
      </c>
      <c r="F494" s="4" t="s">
        <v>52</v>
      </c>
      <c r="G494" s="4">
        <v>2</v>
      </c>
      <c r="H494" s="4">
        <v>23449</v>
      </c>
      <c r="I494" s="4">
        <v>0.02</v>
      </c>
      <c r="J494" s="4">
        <v>46898</v>
      </c>
      <c r="K494" s="4">
        <f t="shared" si="7"/>
        <v>14069.4</v>
      </c>
      <c r="L494" s="4" t="s">
        <v>67</v>
      </c>
      <c r="M494" s="4" t="s">
        <v>30</v>
      </c>
      <c r="N49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95" spans="1:14">
      <c r="A495" s="6">
        <v>10494</v>
      </c>
      <c r="B495" s="5">
        <v>45524</v>
      </c>
      <c r="C495" s="4" t="s">
        <v>31</v>
      </c>
      <c r="D495" s="4" t="s">
        <v>36</v>
      </c>
      <c r="E495" s="4" t="s">
        <v>21</v>
      </c>
      <c r="F495" s="4" t="s">
        <v>56</v>
      </c>
      <c r="G495" s="4">
        <v>6</v>
      </c>
      <c r="H495" s="4">
        <v>3775</v>
      </c>
      <c r="I495" s="4">
        <v>0.01</v>
      </c>
      <c r="J495" s="4">
        <v>22650</v>
      </c>
      <c r="K495" s="4">
        <f t="shared" si="7"/>
        <v>6795</v>
      </c>
      <c r="L495" s="4" t="s">
        <v>61</v>
      </c>
      <c r="M495" s="4" t="s">
        <v>54</v>
      </c>
      <c r="N49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496" spans="1:14">
      <c r="A496" s="6">
        <v>10495</v>
      </c>
      <c r="B496" s="5">
        <v>45508</v>
      </c>
      <c r="C496" s="4" t="s">
        <v>35</v>
      </c>
      <c r="D496" s="4" t="s">
        <v>38</v>
      </c>
      <c r="E496" s="4" t="s">
        <v>33</v>
      </c>
      <c r="F496" s="4" t="s">
        <v>66</v>
      </c>
      <c r="G496" s="4">
        <v>8</v>
      </c>
      <c r="H496" s="4">
        <v>26159</v>
      </c>
      <c r="I496" s="4">
        <v>0.05</v>
      </c>
      <c r="J496" s="4">
        <v>209272</v>
      </c>
      <c r="K496" s="4">
        <f t="shared" si="7"/>
        <v>52318</v>
      </c>
      <c r="L496" s="4" t="s">
        <v>61</v>
      </c>
      <c r="M496" s="4" t="s">
        <v>54</v>
      </c>
      <c r="N49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497" spans="1:14">
      <c r="A497" s="6">
        <v>10496</v>
      </c>
      <c r="B497" s="5">
        <v>45631</v>
      </c>
      <c r="C497" s="4" t="s">
        <v>35</v>
      </c>
      <c r="D497" s="4" t="s">
        <v>51</v>
      </c>
      <c r="E497" s="4" t="s">
        <v>27</v>
      </c>
      <c r="F497" s="4" t="s">
        <v>62</v>
      </c>
      <c r="G497" s="4">
        <v>7</v>
      </c>
      <c r="H497" s="4">
        <v>45571</v>
      </c>
      <c r="I497" s="4">
        <v>0</v>
      </c>
      <c r="J497" s="4">
        <v>318997</v>
      </c>
      <c r="K497" s="4">
        <f t="shared" si="7"/>
        <v>31899.7</v>
      </c>
      <c r="L497" s="4" t="s">
        <v>23</v>
      </c>
      <c r="M497" s="4" t="s">
        <v>24</v>
      </c>
      <c r="N49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498" spans="1:14">
      <c r="A498" s="6">
        <v>10497</v>
      </c>
      <c r="B498" s="5">
        <v>45391</v>
      </c>
      <c r="C498" s="4" t="s">
        <v>14</v>
      </c>
      <c r="D498" s="4" t="s">
        <v>26</v>
      </c>
      <c r="E498" s="4" t="s">
        <v>45</v>
      </c>
      <c r="F498" s="4" t="s">
        <v>57</v>
      </c>
      <c r="G498" s="4">
        <v>4</v>
      </c>
      <c r="H498" s="4">
        <v>45254</v>
      </c>
      <c r="I498" s="4">
        <v>0.01</v>
      </c>
      <c r="J498" s="4">
        <v>181016</v>
      </c>
      <c r="K498" s="4">
        <f t="shared" si="7"/>
        <v>63355.6</v>
      </c>
      <c r="L498" s="4" t="s">
        <v>37</v>
      </c>
      <c r="M498" s="4" t="s">
        <v>19</v>
      </c>
      <c r="N49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499" spans="1:14">
      <c r="A499" s="6">
        <v>10498</v>
      </c>
      <c r="B499" s="5">
        <v>45399</v>
      </c>
      <c r="C499" s="4" t="s">
        <v>43</v>
      </c>
      <c r="D499" s="4" t="s">
        <v>41</v>
      </c>
      <c r="E499" s="4" t="s">
        <v>21</v>
      </c>
      <c r="F499" s="4" t="s">
        <v>56</v>
      </c>
      <c r="G499" s="4">
        <v>6</v>
      </c>
      <c r="H499" s="4">
        <v>35057</v>
      </c>
      <c r="I499" s="4">
        <v>0.05</v>
      </c>
      <c r="J499" s="4">
        <v>210342</v>
      </c>
      <c r="K499" s="4">
        <f t="shared" si="7"/>
        <v>63102.6</v>
      </c>
      <c r="L499" s="4" t="s">
        <v>37</v>
      </c>
      <c r="M499" s="4" t="s">
        <v>19</v>
      </c>
      <c r="N49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00" spans="1:14">
      <c r="A500" s="6">
        <v>10499</v>
      </c>
      <c r="B500" s="5">
        <v>45617</v>
      </c>
      <c r="C500" s="4" t="s">
        <v>25</v>
      </c>
      <c r="D500" s="4" t="s">
        <v>15</v>
      </c>
      <c r="E500" s="4" t="s">
        <v>27</v>
      </c>
      <c r="F500" s="4" t="s">
        <v>62</v>
      </c>
      <c r="G500" s="4">
        <v>7</v>
      </c>
      <c r="H500" s="4">
        <v>26566</v>
      </c>
      <c r="I500" s="4">
        <v>0.01</v>
      </c>
      <c r="J500" s="4">
        <v>185962</v>
      </c>
      <c r="K500" s="4">
        <f t="shared" si="7"/>
        <v>18596.2</v>
      </c>
      <c r="L500" s="4" t="s">
        <v>47</v>
      </c>
      <c r="M500" s="4" t="s">
        <v>24</v>
      </c>
      <c r="N50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01" spans="1:14">
      <c r="A501" s="6">
        <v>10500</v>
      </c>
      <c r="B501" s="5">
        <v>45520</v>
      </c>
      <c r="C501" s="4" t="s">
        <v>14</v>
      </c>
      <c r="D501" s="4" t="s">
        <v>38</v>
      </c>
      <c r="E501" s="4" t="s">
        <v>21</v>
      </c>
      <c r="F501" s="4" t="s">
        <v>22</v>
      </c>
      <c r="G501" s="4">
        <v>6</v>
      </c>
      <c r="H501" s="4">
        <v>6208</v>
      </c>
      <c r="I501" s="4">
        <v>0.05</v>
      </c>
      <c r="J501" s="4">
        <v>37248</v>
      </c>
      <c r="K501" s="4">
        <f t="shared" si="7"/>
        <v>11174.4</v>
      </c>
      <c r="L501" s="4" t="s">
        <v>61</v>
      </c>
      <c r="M501" s="4" t="s">
        <v>54</v>
      </c>
      <c r="N50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02" spans="1:14">
      <c r="A502" s="6">
        <v>10501</v>
      </c>
      <c r="B502" s="5">
        <v>45537</v>
      </c>
      <c r="C502" s="4" t="s">
        <v>14</v>
      </c>
      <c r="D502" s="4" t="s">
        <v>63</v>
      </c>
      <c r="E502" s="4" t="s">
        <v>45</v>
      </c>
      <c r="F502" s="4" t="s">
        <v>57</v>
      </c>
      <c r="G502" s="4">
        <v>7</v>
      </c>
      <c r="H502" s="4">
        <v>41460</v>
      </c>
      <c r="I502" s="4">
        <v>0</v>
      </c>
      <c r="J502" s="4">
        <v>290220</v>
      </c>
      <c r="K502" s="4">
        <f t="shared" si="7"/>
        <v>101577</v>
      </c>
      <c r="L502" s="4" t="s">
        <v>55</v>
      </c>
      <c r="M502" s="4" t="s">
        <v>54</v>
      </c>
      <c r="N50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03" spans="1:14">
      <c r="A503" s="6">
        <v>10502</v>
      </c>
      <c r="B503" s="5">
        <v>45506</v>
      </c>
      <c r="C503" s="4" t="s">
        <v>43</v>
      </c>
      <c r="D503" s="4" t="s">
        <v>41</v>
      </c>
      <c r="E503" s="4" t="s">
        <v>45</v>
      </c>
      <c r="F503" s="4" t="s">
        <v>60</v>
      </c>
      <c r="G503" s="4">
        <v>2</v>
      </c>
      <c r="H503" s="4">
        <v>15031</v>
      </c>
      <c r="I503" s="4">
        <v>0</v>
      </c>
      <c r="J503" s="4">
        <v>30062</v>
      </c>
      <c r="K503" s="4">
        <f t="shared" si="7"/>
        <v>10521.699999999999</v>
      </c>
      <c r="L503" s="4" t="s">
        <v>61</v>
      </c>
      <c r="M503" s="4" t="s">
        <v>54</v>
      </c>
      <c r="N50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04" spans="1:14">
      <c r="A504" s="6">
        <v>10503</v>
      </c>
      <c r="B504" s="5">
        <v>45415</v>
      </c>
      <c r="C504" s="4" t="s">
        <v>25</v>
      </c>
      <c r="D504" s="4" t="s">
        <v>32</v>
      </c>
      <c r="E504" s="4" t="s">
        <v>27</v>
      </c>
      <c r="F504" s="4" t="s">
        <v>64</v>
      </c>
      <c r="G504" s="4">
        <v>2</v>
      </c>
      <c r="H504" s="4">
        <v>12151</v>
      </c>
      <c r="I504" s="4">
        <v>0.02</v>
      </c>
      <c r="J504" s="4">
        <v>24302</v>
      </c>
      <c r="K504" s="4">
        <f t="shared" si="7"/>
        <v>2430.2000000000003</v>
      </c>
      <c r="L504" s="4" t="s">
        <v>50</v>
      </c>
      <c r="M504" s="4" t="s">
        <v>19</v>
      </c>
      <c r="N50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05" spans="1:14">
      <c r="A505" s="6">
        <v>10504</v>
      </c>
      <c r="B505" s="5">
        <v>45598</v>
      </c>
      <c r="C505" s="4" t="s">
        <v>35</v>
      </c>
      <c r="D505" s="4" t="s">
        <v>15</v>
      </c>
      <c r="E505" s="4" t="s">
        <v>16</v>
      </c>
      <c r="F505" s="4" t="s">
        <v>17</v>
      </c>
      <c r="G505" s="4">
        <v>1</v>
      </c>
      <c r="H505" s="4">
        <v>2252</v>
      </c>
      <c r="I505" s="4">
        <v>0.01</v>
      </c>
      <c r="J505" s="4">
        <v>2252</v>
      </c>
      <c r="K505" s="4">
        <f t="shared" si="7"/>
        <v>450.40000000000003</v>
      </c>
      <c r="L505" s="4" t="s">
        <v>47</v>
      </c>
      <c r="M505" s="4" t="s">
        <v>24</v>
      </c>
      <c r="N50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06" spans="1:14">
      <c r="A506" s="6">
        <v>10505</v>
      </c>
      <c r="B506" s="5">
        <v>45333</v>
      </c>
      <c r="C506" s="4" t="s">
        <v>48</v>
      </c>
      <c r="D506" s="4" t="s">
        <v>26</v>
      </c>
      <c r="E506" s="4" t="s">
        <v>16</v>
      </c>
      <c r="F506" s="4" t="s">
        <v>17</v>
      </c>
      <c r="G506" s="4">
        <v>4</v>
      </c>
      <c r="H506" s="4">
        <v>23523</v>
      </c>
      <c r="I506" s="4">
        <v>0.02</v>
      </c>
      <c r="J506" s="4">
        <v>94092</v>
      </c>
      <c r="K506" s="4">
        <f t="shared" si="7"/>
        <v>18818.400000000001</v>
      </c>
      <c r="L506" s="4" t="s">
        <v>29</v>
      </c>
      <c r="M506" s="4" t="s">
        <v>30</v>
      </c>
      <c r="N50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07" spans="1:14">
      <c r="A507" s="6">
        <v>10506</v>
      </c>
      <c r="B507" s="5">
        <v>45598</v>
      </c>
      <c r="C507" s="4" t="s">
        <v>48</v>
      </c>
      <c r="D507" s="4" t="s">
        <v>32</v>
      </c>
      <c r="E507" s="4" t="s">
        <v>45</v>
      </c>
      <c r="F507" s="4" t="s">
        <v>57</v>
      </c>
      <c r="G507" s="4">
        <v>3</v>
      </c>
      <c r="H507" s="4">
        <v>30932</v>
      </c>
      <c r="I507" s="4">
        <v>0.01</v>
      </c>
      <c r="J507" s="4">
        <v>92796</v>
      </c>
      <c r="K507" s="4">
        <f t="shared" si="7"/>
        <v>32478.6</v>
      </c>
      <c r="L507" s="4" t="s">
        <v>47</v>
      </c>
      <c r="M507" s="4" t="s">
        <v>24</v>
      </c>
      <c r="N50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08" spans="1:14">
      <c r="A508" s="6">
        <v>10507</v>
      </c>
      <c r="B508" s="5">
        <v>45471</v>
      </c>
      <c r="C508" s="4" t="s">
        <v>48</v>
      </c>
      <c r="D508" s="4" t="s">
        <v>38</v>
      </c>
      <c r="E508" s="4" t="s">
        <v>33</v>
      </c>
      <c r="F508" s="4" t="s">
        <v>34</v>
      </c>
      <c r="G508" s="4">
        <v>6</v>
      </c>
      <c r="H508" s="4">
        <v>26805</v>
      </c>
      <c r="I508" s="4">
        <v>0.05</v>
      </c>
      <c r="J508" s="4">
        <v>160830</v>
      </c>
      <c r="K508" s="4">
        <f t="shared" si="7"/>
        <v>40207.5</v>
      </c>
      <c r="L508" s="4" t="s">
        <v>18</v>
      </c>
      <c r="M508" s="4" t="s">
        <v>19</v>
      </c>
      <c r="N50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09" spans="1:14">
      <c r="A509" s="6">
        <v>10508</v>
      </c>
      <c r="B509" s="5">
        <v>45433</v>
      </c>
      <c r="C509" s="4" t="s">
        <v>43</v>
      </c>
      <c r="D509" s="4" t="s">
        <v>41</v>
      </c>
      <c r="E509" s="4" t="s">
        <v>27</v>
      </c>
      <c r="F509" s="4" t="s">
        <v>28</v>
      </c>
      <c r="G509" s="4">
        <v>4</v>
      </c>
      <c r="H509" s="4">
        <v>20800</v>
      </c>
      <c r="I509" s="4">
        <v>0.02</v>
      </c>
      <c r="J509" s="4">
        <v>83200</v>
      </c>
      <c r="K509" s="4">
        <f t="shared" si="7"/>
        <v>8320</v>
      </c>
      <c r="L509" s="4" t="s">
        <v>50</v>
      </c>
      <c r="M509" s="4" t="s">
        <v>19</v>
      </c>
      <c r="N50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10" spans="1:14">
      <c r="A510" s="6">
        <v>10509</v>
      </c>
      <c r="B510" s="5">
        <v>45518</v>
      </c>
      <c r="C510" s="4" t="s">
        <v>31</v>
      </c>
      <c r="D510" s="4" t="s">
        <v>63</v>
      </c>
      <c r="E510" s="4" t="s">
        <v>33</v>
      </c>
      <c r="F510" s="4" t="s">
        <v>34</v>
      </c>
      <c r="G510" s="4">
        <v>6</v>
      </c>
      <c r="H510" s="4">
        <v>16916</v>
      </c>
      <c r="I510" s="4">
        <v>0.02</v>
      </c>
      <c r="J510" s="4">
        <v>101496</v>
      </c>
      <c r="K510" s="4">
        <f t="shared" si="7"/>
        <v>25374</v>
      </c>
      <c r="L510" s="4" t="s">
        <v>61</v>
      </c>
      <c r="M510" s="4" t="s">
        <v>54</v>
      </c>
      <c r="N51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11" spans="1:14">
      <c r="A511" s="6">
        <v>10510</v>
      </c>
      <c r="B511" s="5">
        <v>45422</v>
      </c>
      <c r="C511" s="4" t="s">
        <v>25</v>
      </c>
      <c r="D511" s="4" t="s">
        <v>26</v>
      </c>
      <c r="E511" s="4" t="s">
        <v>45</v>
      </c>
      <c r="F511" s="4" t="s">
        <v>57</v>
      </c>
      <c r="G511" s="4">
        <v>4</v>
      </c>
      <c r="H511" s="4">
        <v>46536</v>
      </c>
      <c r="I511" s="4">
        <v>0</v>
      </c>
      <c r="J511" s="4">
        <v>186144</v>
      </c>
      <c r="K511" s="4">
        <f t="shared" si="7"/>
        <v>65150.399999999994</v>
      </c>
      <c r="L511" s="4" t="s">
        <v>50</v>
      </c>
      <c r="M511" s="4" t="s">
        <v>19</v>
      </c>
      <c r="N51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12" spans="1:14">
      <c r="A512" s="6">
        <v>10511</v>
      </c>
      <c r="B512" s="5">
        <v>45438</v>
      </c>
      <c r="C512" s="4" t="s">
        <v>43</v>
      </c>
      <c r="D512" s="4" t="s">
        <v>63</v>
      </c>
      <c r="E512" s="4" t="s">
        <v>21</v>
      </c>
      <c r="F512" s="4" t="s">
        <v>52</v>
      </c>
      <c r="G512" s="4">
        <v>8</v>
      </c>
      <c r="H512" s="4">
        <v>27375</v>
      </c>
      <c r="I512" s="4">
        <v>0.02</v>
      </c>
      <c r="J512" s="4">
        <v>219000</v>
      </c>
      <c r="K512" s="4">
        <f t="shared" si="7"/>
        <v>65700</v>
      </c>
      <c r="L512" s="4" t="s">
        <v>50</v>
      </c>
      <c r="M512" s="4" t="s">
        <v>19</v>
      </c>
      <c r="N51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13" spans="1:14">
      <c r="A513" s="6">
        <v>10512</v>
      </c>
      <c r="B513" s="5">
        <v>45426</v>
      </c>
      <c r="C513" s="4" t="s">
        <v>35</v>
      </c>
      <c r="D513" s="4" t="s">
        <v>15</v>
      </c>
      <c r="E513" s="4" t="s">
        <v>27</v>
      </c>
      <c r="F513" s="4" t="s">
        <v>28</v>
      </c>
      <c r="G513" s="4">
        <v>9</v>
      </c>
      <c r="H513" s="4">
        <v>19108</v>
      </c>
      <c r="I513" s="4">
        <v>0.05</v>
      </c>
      <c r="J513" s="4">
        <v>171972</v>
      </c>
      <c r="K513" s="4">
        <f t="shared" si="7"/>
        <v>17197.2</v>
      </c>
      <c r="L513" s="4" t="s">
        <v>50</v>
      </c>
      <c r="M513" s="4" t="s">
        <v>19</v>
      </c>
      <c r="N51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14" spans="1:14">
      <c r="A514" s="6">
        <v>10513</v>
      </c>
      <c r="B514" s="5">
        <v>45640</v>
      </c>
      <c r="C514" s="4" t="s">
        <v>25</v>
      </c>
      <c r="D514" s="4" t="s">
        <v>63</v>
      </c>
      <c r="E514" s="4" t="s">
        <v>21</v>
      </c>
      <c r="F514" s="4" t="s">
        <v>56</v>
      </c>
      <c r="G514" s="4">
        <v>2</v>
      </c>
      <c r="H514" s="4">
        <v>35524</v>
      </c>
      <c r="I514" s="4">
        <v>0.01</v>
      </c>
      <c r="J514" s="4">
        <v>71048</v>
      </c>
      <c r="K514" s="4">
        <f t="shared" ref="K514:K577" si="8">J514*N514</f>
        <v>21314.399999999998</v>
      </c>
      <c r="L514" s="4" t="s">
        <v>23</v>
      </c>
      <c r="M514" s="4" t="s">
        <v>24</v>
      </c>
      <c r="N51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15" spans="1:14">
      <c r="A515" s="6">
        <v>10514</v>
      </c>
      <c r="B515" s="5">
        <v>45328</v>
      </c>
      <c r="C515" s="4" t="s">
        <v>35</v>
      </c>
      <c r="D515" s="4" t="s">
        <v>41</v>
      </c>
      <c r="E515" s="4" t="s">
        <v>33</v>
      </c>
      <c r="F515" s="4" t="s">
        <v>66</v>
      </c>
      <c r="G515" s="4">
        <v>7</v>
      </c>
      <c r="H515" s="4">
        <v>40760</v>
      </c>
      <c r="I515" s="4">
        <v>0.05</v>
      </c>
      <c r="J515" s="4">
        <v>285320</v>
      </c>
      <c r="K515" s="4">
        <f t="shared" si="8"/>
        <v>71330</v>
      </c>
      <c r="L515" s="4" t="s">
        <v>29</v>
      </c>
      <c r="M515" s="4" t="s">
        <v>30</v>
      </c>
      <c r="N51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16" spans="1:14">
      <c r="A516" s="6">
        <v>10515</v>
      </c>
      <c r="B516" s="5">
        <v>45343</v>
      </c>
      <c r="C516" s="4" t="s">
        <v>31</v>
      </c>
      <c r="D516" s="4" t="s">
        <v>41</v>
      </c>
      <c r="E516" s="4" t="s">
        <v>16</v>
      </c>
      <c r="F516" s="4" t="s">
        <v>17</v>
      </c>
      <c r="G516" s="4">
        <v>7</v>
      </c>
      <c r="H516" s="4">
        <v>44391</v>
      </c>
      <c r="I516" s="4">
        <v>0.05</v>
      </c>
      <c r="J516" s="4">
        <v>310737</v>
      </c>
      <c r="K516" s="4">
        <f t="shared" si="8"/>
        <v>62147.4</v>
      </c>
      <c r="L516" s="4" t="s">
        <v>29</v>
      </c>
      <c r="M516" s="4" t="s">
        <v>30</v>
      </c>
      <c r="N51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17" spans="1:14">
      <c r="A517" s="6">
        <v>10516</v>
      </c>
      <c r="B517" s="5">
        <v>45394</v>
      </c>
      <c r="C517" s="4" t="s">
        <v>48</v>
      </c>
      <c r="D517" s="4" t="s">
        <v>15</v>
      </c>
      <c r="E517" s="4" t="s">
        <v>16</v>
      </c>
      <c r="F517" s="4" t="s">
        <v>49</v>
      </c>
      <c r="G517" s="4">
        <v>3</v>
      </c>
      <c r="H517" s="4">
        <v>47922</v>
      </c>
      <c r="I517" s="4">
        <v>0.01</v>
      </c>
      <c r="J517" s="4">
        <v>143766</v>
      </c>
      <c r="K517" s="4">
        <f t="shared" si="8"/>
        <v>28753.200000000001</v>
      </c>
      <c r="L517" s="4" t="s">
        <v>37</v>
      </c>
      <c r="M517" s="4" t="s">
        <v>19</v>
      </c>
      <c r="N51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18" spans="1:14">
      <c r="A518" s="6">
        <v>10517</v>
      </c>
      <c r="B518" s="5">
        <v>45595</v>
      </c>
      <c r="C518" s="4" t="s">
        <v>35</v>
      </c>
      <c r="D518" s="4" t="s">
        <v>38</v>
      </c>
      <c r="E518" s="4" t="s">
        <v>45</v>
      </c>
      <c r="F518" s="4" t="s">
        <v>57</v>
      </c>
      <c r="G518" s="4">
        <v>9</v>
      </c>
      <c r="H518" s="4">
        <v>28527</v>
      </c>
      <c r="I518" s="4">
        <v>0.05</v>
      </c>
      <c r="J518" s="4">
        <v>256743</v>
      </c>
      <c r="K518" s="4">
        <f t="shared" si="8"/>
        <v>89860.049999999988</v>
      </c>
      <c r="L518" s="4" t="s">
        <v>58</v>
      </c>
      <c r="M518" s="4" t="s">
        <v>24</v>
      </c>
      <c r="N51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19" spans="1:14">
      <c r="A519" s="6">
        <v>10518</v>
      </c>
      <c r="B519" s="5">
        <v>45443</v>
      </c>
      <c r="C519" s="4" t="s">
        <v>43</v>
      </c>
      <c r="D519" s="4" t="s">
        <v>51</v>
      </c>
      <c r="E519" s="4" t="s">
        <v>45</v>
      </c>
      <c r="F519" s="4" t="s">
        <v>57</v>
      </c>
      <c r="G519" s="4">
        <v>3</v>
      </c>
      <c r="H519" s="4">
        <v>29810</v>
      </c>
      <c r="I519" s="4">
        <v>0.02</v>
      </c>
      <c r="J519" s="4">
        <v>89430</v>
      </c>
      <c r="K519" s="4">
        <f t="shared" si="8"/>
        <v>31300.499999999996</v>
      </c>
      <c r="L519" s="4" t="s">
        <v>50</v>
      </c>
      <c r="M519" s="4" t="s">
        <v>19</v>
      </c>
      <c r="N51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20" spans="1:14">
      <c r="A520" s="6">
        <v>10519</v>
      </c>
      <c r="B520" s="5">
        <v>45438</v>
      </c>
      <c r="C520" s="4" t="s">
        <v>35</v>
      </c>
      <c r="D520" s="4" t="s">
        <v>41</v>
      </c>
      <c r="E520" s="4" t="s">
        <v>16</v>
      </c>
      <c r="F520" s="4" t="s">
        <v>17</v>
      </c>
      <c r="G520" s="4">
        <v>5</v>
      </c>
      <c r="H520" s="4">
        <v>29054</v>
      </c>
      <c r="I520" s="4">
        <v>0.05</v>
      </c>
      <c r="J520" s="4">
        <v>145270</v>
      </c>
      <c r="K520" s="4">
        <f t="shared" si="8"/>
        <v>29054</v>
      </c>
      <c r="L520" s="4" t="s">
        <v>50</v>
      </c>
      <c r="M520" s="4" t="s">
        <v>19</v>
      </c>
      <c r="N52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21" spans="1:14">
      <c r="A521" s="6">
        <v>10520</v>
      </c>
      <c r="B521" s="5">
        <v>45472</v>
      </c>
      <c r="C521" s="4" t="s">
        <v>35</v>
      </c>
      <c r="D521" s="4" t="s">
        <v>32</v>
      </c>
      <c r="E521" s="4" t="s">
        <v>21</v>
      </c>
      <c r="F521" s="4" t="s">
        <v>52</v>
      </c>
      <c r="G521" s="4">
        <v>6</v>
      </c>
      <c r="H521" s="4">
        <v>39599</v>
      </c>
      <c r="I521" s="4">
        <v>0</v>
      </c>
      <c r="J521" s="4">
        <v>237594</v>
      </c>
      <c r="K521" s="4">
        <f t="shared" si="8"/>
        <v>71278.2</v>
      </c>
      <c r="L521" s="4" t="s">
        <v>18</v>
      </c>
      <c r="M521" s="4" t="s">
        <v>19</v>
      </c>
      <c r="N52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22" spans="1:14">
      <c r="A522" s="6">
        <v>10521</v>
      </c>
      <c r="B522" s="5">
        <v>45585</v>
      </c>
      <c r="C522" s="4" t="s">
        <v>25</v>
      </c>
      <c r="D522" s="4" t="s">
        <v>41</v>
      </c>
      <c r="E522" s="4" t="s">
        <v>27</v>
      </c>
      <c r="F522" s="4" t="s">
        <v>64</v>
      </c>
      <c r="G522" s="4">
        <v>3</v>
      </c>
      <c r="H522" s="4">
        <v>26662</v>
      </c>
      <c r="I522" s="4">
        <v>0.05</v>
      </c>
      <c r="J522" s="4">
        <v>79986</v>
      </c>
      <c r="K522" s="4">
        <f t="shared" si="8"/>
        <v>7998.6</v>
      </c>
      <c r="L522" s="4" t="s">
        <v>58</v>
      </c>
      <c r="M522" s="4" t="s">
        <v>24</v>
      </c>
      <c r="N52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23" spans="1:14">
      <c r="A523" s="6">
        <v>10522</v>
      </c>
      <c r="B523" s="5">
        <v>45438</v>
      </c>
      <c r="C523" s="4" t="s">
        <v>31</v>
      </c>
      <c r="D523" s="4" t="s">
        <v>36</v>
      </c>
      <c r="E523" s="4" t="s">
        <v>27</v>
      </c>
      <c r="F523" s="4" t="s">
        <v>62</v>
      </c>
      <c r="G523" s="4">
        <v>6</v>
      </c>
      <c r="H523" s="4">
        <v>12382</v>
      </c>
      <c r="I523" s="4">
        <v>0</v>
      </c>
      <c r="J523" s="4">
        <v>74292</v>
      </c>
      <c r="K523" s="4">
        <f t="shared" si="8"/>
        <v>7429.2000000000007</v>
      </c>
      <c r="L523" s="4" t="s">
        <v>50</v>
      </c>
      <c r="M523" s="4" t="s">
        <v>19</v>
      </c>
      <c r="N52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24" spans="1:14">
      <c r="A524" s="6">
        <v>10523</v>
      </c>
      <c r="B524" s="5">
        <v>45438</v>
      </c>
      <c r="C524" s="4" t="s">
        <v>14</v>
      </c>
      <c r="D524" s="4" t="s">
        <v>15</v>
      </c>
      <c r="E524" s="4" t="s">
        <v>45</v>
      </c>
      <c r="F524" s="4" t="s">
        <v>60</v>
      </c>
      <c r="G524" s="4">
        <v>4</v>
      </c>
      <c r="H524" s="4">
        <v>30964</v>
      </c>
      <c r="I524" s="4">
        <v>0.05</v>
      </c>
      <c r="J524" s="4">
        <v>123856</v>
      </c>
      <c r="K524" s="4">
        <f t="shared" si="8"/>
        <v>43349.599999999999</v>
      </c>
      <c r="L524" s="4" t="s">
        <v>50</v>
      </c>
      <c r="M524" s="4" t="s">
        <v>19</v>
      </c>
      <c r="N52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25" spans="1:14">
      <c r="A525" s="6">
        <v>10524</v>
      </c>
      <c r="B525" s="5">
        <v>45403</v>
      </c>
      <c r="C525" s="4" t="s">
        <v>31</v>
      </c>
      <c r="D525" s="4" t="s">
        <v>63</v>
      </c>
      <c r="E525" s="4" t="s">
        <v>16</v>
      </c>
      <c r="F525" s="4" t="s">
        <v>49</v>
      </c>
      <c r="G525" s="4">
        <v>3</v>
      </c>
      <c r="H525" s="4">
        <v>22689</v>
      </c>
      <c r="I525" s="4">
        <v>0.05</v>
      </c>
      <c r="J525" s="4">
        <v>68067</v>
      </c>
      <c r="K525" s="4">
        <f t="shared" si="8"/>
        <v>13613.400000000001</v>
      </c>
      <c r="L525" s="4" t="s">
        <v>37</v>
      </c>
      <c r="M525" s="4" t="s">
        <v>19</v>
      </c>
      <c r="N52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26" spans="1:14">
      <c r="A526" s="6">
        <v>10525</v>
      </c>
      <c r="B526" s="5">
        <v>45345</v>
      </c>
      <c r="C526" s="4" t="s">
        <v>31</v>
      </c>
      <c r="D526" s="4" t="s">
        <v>51</v>
      </c>
      <c r="E526" s="4" t="s">
        <v>16</v>
      </c>
      <c r="F526" s="4" t="s">
        <v>65</v>
      </c>
      <c r="G526" s="4">
        <v>8</v>
      </c>
      <c r="H526" s="4">
        <v>49847</v>
      </c>
      <c r="I526" s="4">
        <v>0.01</v>
      </c>
      <c r="J526" s="4">
        <v>398776</v>
      </c>
      <c r="K526" s="4">
        <f t="shared" si="8"/>
        <v>79755.200000000012</v>
      </c>
      <c r="L526" s="4" t="s">
        <v>29</v>
      </c>
      <c r="M526" s="4" t="s">
        <v>30</v>
      </c>
      <c r="N52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27" spans="1:14">
      <c r="A527" s="6">
        <v>10526</v>
      </c>
      <c r="B527" s="5">
        <v>45541</v>
      </c>
      <c r="C527" s="4" t="s">
        <v>31</v>
      </c>
      <c r="D527" s="4" t="s">
        <v>51</v>
      </c>
      <c r="E527" s="4" t="s">
        <v>27</v>
      </c>
      <c r="F527" s="4" t="s">
        <v>28</v>
      </c>
      <c r="G527" s="4">
        <v>7</v>
      </c>
      <c r="H527" s="4">
        <v>11988</v>
      </c>
      <c r="I527" s="4">
        <v>0</v>
      </c>
      <c r="J527" s="4">
        <v>83916</v>
      </c>
      <c r="K527" s="4">
        <f t="shared" si="8"/>
        <v>8391.6</v>
      </c>
      <c r="L527" s="4" t="s">
        <v>55</v>
      </c>
      <c r="M527" s="4" t="s">
        <v>54</v>
      </c>
      <c r="N52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28" spans="1:14">
      <c r="A528" s="6">
        <v>10527</v>
      </c>
      <c r="B528" s="5">
        <v>45360</v>
      </c>
      <c r="C528" s="4" t="s">
        <v>48</v>
      </c>
      <c r="D528" s="4" t="s">
        <v>20</v>
      </c>
      <c r="E528" s="4" t="s">
        <v>21</v>
      </c>
      <c r="F528" s="4" t="s">
        <v>52</v>
      </c>
      <c r="G528" s="4">
        <v>9</v>
      </c>
      <c r="H528" s="4">
        <v>10497</v>
      </c>
      <c r="I528" s="4">
        <v>0.05</v>
      </c>
      <c r="J528" s="4">
        <v>94473</v>
      </c>
      <c r="K528" s="4">
        <f t="shared" si="8"/>
        <v>28341.899999999998</v>
      </c>
      <c r="L528" s="4" t="s">
        <v>42</v>
      </c>
      <c r="M528" s="4" t="s">
        <v>30</v>
      </c>
      <c r="N52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29" spans="1:14">
      <c r="A529" s="6">
        <v>10528</v>
      </c>
      <c r="B529" s="5">
        <v>45465</v>
      </c>
      <c r="C529" s="4" t="s">
        <v>43</v>
      </c>
      <c r="D529" s="4" t="s">
        <v>51</v>
      </c>
      <c r="E529" s="4" t="s">
        <v>21</v>
      </c>
      <c r="F529" s="4" t="s">
        <v>56</v>
      </c>
      <c r="G529" s="4">
        <v>5</v>
      </c>
      <c r="H529" s="4">
        <v>22698</v>
      </c>
      <c r="I529" s="4">
        <v>0.01</v>
      </c>
      <c r="J529" s="4">
        <v>113490</v>
      </c>
      <c r="K529" s="4">
        <f t="shared" si="8"/>
        <v>34047</v>
      </c>
      <c r="L529" s="4" t="s">
        <v>18</v>
      </c>
      <c r="M529" s="4" t="s">
        <v>19</v>
      </c>
      <c r="N52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30" spans="1:14">
      <c r="A530" s="6">
        <v>10529</v>
      </c>
      <c r="B530" s="5">
        <v>45445</v>
      </c>
      <c r="C530" s="4" t="s">
        <v>43</v>
      </c>
      <c r="D530" s="4" t="s">
        <v>38</v>
      </c>
      <c r="E530" s="4" t="s">
        <v>16</v>
      </c>
      <c r="F530" s="4" t="s">
        <v>65</v>
      </c>
      <c r="G530" s="4">
        <v>5</v>
      </c>
      <c r="H530" s="4">
        <v>33299</v>
      </c>
      <c r="I530" s="4">
        <v>0.01</v>
      </c>
      <c r="J530" s="4">
        <v>166495</v>
      </c>
      <c r="K530" s="4">
        <f t="shared" si="8"/>
        <v>33299</v>
      </c>
      <c r="L530" s="4" t="s">
        <v>18</v>
      </c>
      <c r="M530" s="4" t="s">
        <v>19</v>
      </c>
      <c r="N53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31" spans="1:14">
      <c r="A531" s="6">
        <v>10530</v>
      </c>
      <c r="B531" s="5">
        <v>45353</v>
      </c>
      <c r="C531" s="4" t="s">
        <v>31</v>
      </c>
      <c r="D531" s="4" t="s">
        <v>63</v>
      </c>
      <c r="E531" s="4" t="s">
        <v>21</v>
      </c>
      <c r="F531" s="4" t="s">
        <v>56</v>
      </c>
      <c r="G531" s="4">
        <v>7</v>
      </c>
      <c r="H531" s="4">
        <v>7511</v>
      </c>
      <c r="I531" s="4">
        <v>0</v>
      </c>
      <c r="J531" s="4">
        <v>52577</v>
      </c>
      <c r="K531" s="4">
        <f t="shared" si="8"/>
        <v>15773.099999999999</v>
      </c>
      <c r="L531" s="4" t="s">
        <v>42</v>
      </c>
      <c r="M531" s="4" t="s">
        <v>30</v>
      </c>
      <c r="N53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32" spans="1:14">
      <c r="A532" s="6">
        <v>10531</v>
      </c>
      <c r="B532" s="5">
        <v>45435</v>
      </c>
      <c r="C532" s="4" t="s">
        <v>35</v>
      </c>
      <c r="D532" s="4" t="s">
        <v>38</v>
      </c>
      <c r="E532" s="4" t="s">
        <v>27</v>
      </c>
      <c r="F532" s="4" t="s">
        <v>62</v>
      </c>
      <c r="G532" s="4">
        <v>4</v>
      </c>
      <c r="H532" s="4">
        <v>6552</v>
      </c>
      <c r="I532" s="4">
        <v>0.05</v>
      </c>
      <c r="J532" s="4">
        <v>26208</v>
      </c>
      <c r="K532" s="4">
        <f t="shared" si="8"/>
        <v>2620.8000000000002</v>
      </c>
      <c r="L532" s="4" t="s">
        <v>50</v>
      </c>
      <c r="M532" s="4" t="s">
        <v>19</v>
      </c>
      <c r="N53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33" spans="1:14">
      <c r="A533" s="6">
        <v>10532</v>
      </c>
      <c r="B533" s="5">
        <v>45511</v>
      </c>
      <c r="C533" s="4" t="s">
        <v>31</v>
      </c>
      <c r="D533" s="4" t="s">
        <v>26</v>
      </c>
      <c r="E533" s="4" t="s">
        <v>33</v>
      </c>
      <c r="F533" s="4" t="s">
        <v>59</v>
      </c>
      <c r="G533" s="4">
        <v>4</v>
      </c>
      <c r="H533" s="4">
        <v>26901</v>
      </c>
      <c r="I533" s="4">
        <v>0</v>
      </c>
      <c r="J533" s="4">
        <v>107604</v>
      </c>
      <c r="K533" s="4">
        <f t="shared" si="8"/>
        <v>26901</v>
      </c>
      <c r="L533" s="4" t="s">
        <v>61</v>
      </c>
      <c r="M533" s="4" t="s">
        <v>54</v>
      </c>
      <c r="N53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34" spans="1:14">
      <c r="A534" s="6">
        <v>10533</v>
      </c>
      <c r="B534" s="5">
        <v>45509</v>
      </c>
      <c r="C534" s="4" t="s">
        <v>31</v>
      </c>
      <c r="D534" s="4" t="s">
        <v>63</v>
      </c>
      <c r="E534" s="4" t="s">
        <v>16</v>
      </c>
      <c r="F534" s="4" t="s">
        <v>65</v>
      </c>
      <c r="G534" s="4">
        <v>4</v>
      </c>
      <c r="H534" s="4">
        <v>26105</v>
      </c>
      <c r="I534" s="4">
        <v>0</v>
      </c>
      <c r="J534" s="4">
        <v>104420</v>
      </c>
      <c r="K534" s="4">
        <f t="shared" si="8"/>
        <v>20884</v>
      </c>
      <c r="L534" s="4" t="s">
        <v>61</v>
      </c>
      <c r="M534" s="4" t="s">
        <v>54</v>
      </c>
      <c r="N53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35" spans="1:14">
      <c r="A535" s="6">
        <v>10534</v>
      </c>
      <c r="B535" s="5">
        <v>45451</v>
      </c>
      <c r="C535" s="4" t="s">
        <v>14</v>
      </c>
      <c r="D535" s="4" t="s">
        <v>38</v>
      </c>
      <c r="E535" s="4" t="s">
        <v>27</v>
      </c>
      <c r="F535" s="4" t="s">
        <v>62</v>
      </c>
      <c r="G535" s="4">
        <v>4</v>
      </c>
      <c r="H535" s="4">
        <v>34776</v>
      </c>
      <c r="I535" s="4">
        <v>0.05</v>
      </c>
      <c r="J535" s="4">
        <v>139104</v>
      </c>
      <c r="K535" s="4">
        <f t="shared" si="8"/>
        <v>13910.400000000001</v>
      </c>
      <c r="L535" s="4" t="s">
        <v>18</v>
      </c>
      <c r="M535" s="4" t="s">
        <v>19</v>
      </c>
      <c r="N53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36" spans="1:14">
      <c r="A536" s="6">
        <v>10535</v>
      </c>
      <c r="B536" s="5">
        <v>45404</v>
      </c>
      <c r="C536" s="4" t="s">
        <v>14</v>
      </c>
      <c r="D536" s="4" t="s">
        <v>41</v>
      </c>
      <c r="E536" s="4" t="s">
        <v>33</v>
      </c>
      <c r="F536" s="4" t="s">
        <v>59</v>
      </c>
      <c r="G536" s="4">
        <v>7</v>
      </c>
      <c r="H536" s="4">
        <v>48159</v>
      </c>
      <c r="I536" s="4">
        <v>0.02</v>
      </c>
      <c r="J536" s="4">
        <v>337113</v>
      </c>
      <c r="K536" s="4">
        <f t="shared" si="8"/>
        <v>84278.25</v>
      </c>
      <c r="L536" s="4" t="s">
        <v>37</v>
      </c>
      <c r="M536" s="4" t="s">
        <v>19</v>
      </c>
      <c r="N53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37" spans="1:14">
      <c r="A537" s="6">
        <v>10536</v>
      </c>
      <c r="B537" s="5">
        <v>45609</v>
      </c>
      <c r="C537" s="4" t="s">
        <v>14</v>
      </c>
      <c r="D537" s="4" t="s">
        <v>15</v>
      </c>
      <c r="E537" s="4" t="s">
        <v>16</v>
      </c>
      <c r="F537" s="4" t="s">
        <v>65</v>
      </c>
      <c r="G537" s="4">
        <v>8</v>
      </c>
      <c r="H537" s="4">
        <v>15011</v>
      </c>
      <c r="I537" s="4">
        <v>0.02</v>
      </c>
      <c r="J537" s="4">
        <v>120088</v>
      </c>
      <c r="K537" s="4">
        <f t="shared" si="8"/>
        <v>24017.600000000002</v>
      </c>
      <c r="L537" s="4" t="s">
        <v>47</v>
      </c>
      <c r="M537" s="4" t="s">
        <v>24</v>
      </c>
      <c r="N53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38" spans="1:14">
      <c r="A538" s="6">
        <v>10537</v>
      </c>
      <c r="B538" s="5">
        <v>45522</v>
      </c>
      <c r="C538" s="4" t="s">
        <v>14</v>
      </c>
      <c r="D538" s="4" t="s">
        <v>51</v>
      </c>
      <c r="E538" s="4" t="s">
        <v>45</v>
      </c>
      <c r="F538" s="4" t="s">
        <v>46</v>
      </c>
      <c r="G538" s="4">
        <v>6</v>
      </c>
      <c r="H538" s="4">
        <v>42691</v>
      </c>
      <c r="I538" s="4">
        <v>0.01</v>
      </c>
      <c r="J538" s="4">
        <v>256146</v>
      </c>
      <c r="K538" s="4">
        <f t="shared" si="8"/>
        <v>89651.099999999991</v>
      </c>
      <c r="L538" s="4" t="s">
        <v>61</v>
      </c>
      <c r="M538" s="4" t="s">
        <v>54</v>
      </c>
      <c r="N53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39" spans="1:14">
      <c r="A539" s="6">
        <v>10538</v>
      </c>
      <c r="B539" s="5">
        <v>45480</v>
      </c>
      <c r="C539" s="4" t="s">
        <v>14</v>
      </c>
      <c r="D539" s="4" t="s">
        <v>63</v>
      </c>
      <c r="E539" s="4" t="s">
        <v>21</v>
      </c>
      <c r="F539" s="4" t="s">
        <v>22</v>
      </c>
      <c r="G539" s="4">
        <v>4</v>
      </c>
      <c r="H539" s="4">
        <v>43571</v>
      </c>
      <c r="I539" s="4">
        <v>0</v>
      </c>
      <c r="J539" s="4">
        <v>174284</v>
      </c>
      <c r="K539" s="4">
        <f t="shared" si="8"/>
        <v>52285.2</v>
      </c>
      <c r="L539" s="4" t="s">
        <v>53</v>
      </c>
      <c r="M539" s="4" t="s">
        <v>54</v>
      </c>
      <c r="N53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40" spans="1:14">
      <c r="A540" s="6">
        <v>10539</v>
      </c>
      <c r="B540" s="5">
        <v>45345</v>
      </c>
      <c r="C540" s="4" t="s">
        <v>25</v>
      </c>
      <c r="D540" s="4" t="s">
        <v>15</v>
      </c>
      <c r="E540" s="4" t="s">
        <v>33</v>
      </c>
      <c r="F540" s="4" t="s">
        <v>66</v>
      </c>
      <c r="G540" s="4">
        <v>9</v>
      </c>
      <c r="H540" s="4">
        <v>45222</v>
      </c>
      <c r="I540" s="4">
        <v>0.01</v>
      </c>
      <c r="J540" s="4">
        <v>406998</v>
      </c>
      <c r="K540" s="4">
        <f t="shared" si="8"/>
        <v>101749.5</v>
      </c>
      <c r="L540" s="4" t="s">
        <v>29</v>
      </c>
      <c r="M540" s="4" t="s">
        <v>30</v>
      </c>
      <c r="N54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41" spans="1:14">
      <c r="A541" s="6">
        <v>10540</v>
      </c>
      <c r="B541" s="5">
        <v>45435</v>
      </c>
      <c r="C541" s="4" t="s">
        <v>25</v>
      </c>
      <c r="D541" s="4" t="s">
        <v>26</v>
      </c>
      <c r="E541" s="4" t="s">
        <v>33</v>
      </c>
      <c r="F541" s="4" t="s">
        <v>66</v>
      </c>
      <c r="G541" s="4">
        <v>6</v>
      </c>
      <c r="H541" s="4">
        <v>44618</v>
      </c>
      <c r="I541" s="4">
        <v>0</v>
      </c>
      <c r="J541" s="4">
        <v>267708</v>
      </c>
      <c r="K541" s="4">
        <f t="shared" si="8"/>
        <v>66927</v>
      </c>
      <c r="L541" s="4" t="s">
        <v>50</v>
      </c>
      <c r="M541" s="4" t="s">
        <v>19</v>
      </c>
      <c r="N54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42" spans="1:14">
      <c r="A542" s="6">
        <v>10541</v>
      </c>
      <c r="B542" s="5">
        <v>45394</v>
      </c>
      <c r="C542" s="4" t="s">
        <v>48</v>
      </c>
      <c r="D542" s="4" t="s">
        <v>20</v>
      </c>
      <c r="E542" s="4" t="s">
        <v>16</v>
      </c>
      <c r="F542" s="4" t="s">
        <v>49</v>
      </c>
      <c r="G542" s="4">
        <v>1</v>
      </c>
      <c r="H542" s="4">
        <v>14136</v>
      </c>
      <c r="I542" s="4">
        <v>0.05</v>
      </c>
      <c r="J542" s="4">
        <v>14136</v>
      </c>
      <c r="K542" s="4">
        <f t="shared" si="8"/>
        <v>2827.2000000000003</v>
      </c>
      <c r="L542" s="4" t="s">
        <v>37</v>
      </c>
      <c r="M542" s="4" t="s">
        <v>19</v>
      </c>
      <c r="N54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43" spans="1:14">
      <c r="A543" s="6">
        <v>10542</v>
      </c>
      <c r="B543" s="5">
        <v>45397</v>
      </c>
      <c r="C543" s="4" t="s">
        <v>48</v>
      </c>
      <c r="D543" s="4" t="s">
        <v>51</v>
      </c>
      <c r="E543" s="4" t="s">
        <v>27</v>
      </c>
      <c r="F543" s="4" t="s">
        <v>62</v>
      </c>
      <c r="G543" s="4">
        <v>6</v>
      </c>
      <c r="H543" s="4">
        <v>10968</v>
      </c>
      <c r="I543" s="4">
        <v>0.02</v>
      </c>
      <c r="J543" s="4">
        <v>65808</v>
      </c>
      <c r="K543" s="4">
        <f t="shared" si="8"/>
        <v>6580.8</v>
      </c>
      <c r="L543" s="4" t="s">
        <v>37</v>
      </c>
      <c r="M543" s="4" t="s">
        <v>19</v>
      </c>
      <c r="N54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44" spans="1:14">
      <c r="A544" s="6">
        <v>10543</v>
      </c>
      <c r="B544" s="5">
        <v>45497</v>
      </c>
      <c r="C544" s="4" t="s">
        <v>14</v>
      </c>
      <c r="D544" s="4" t="s">
        <v>15</v>
      </c>
      <c r="E544" s="4" t="s">
        <v>33</v>
      </c>
      <c r="F544" s="4" t="s">
        <v>34</v>
      </c>
      <c r="G544" s="4">
        <v>7</v>
      </c>
      <c r="H544" s="4">
        <v>8384</v>
      </c>
      <c r="I544" s="4">
        <v>0.01</v>
      </c>
      <c r="J544" s="4">
        <v>58688</v>
      </c>
      <c r="K544" s="4">
        <f t="shared" si="8"/>
        <v>14672</v>
      </c>
      <c r="L544" s="4" t="s">
        <v>53</v>
      </c>
      <c r="M544" s="4" t="s">
        <v>54</v>
      </c>
      <c r="N54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45" spans="1:14">
      <c r="A545" s="6">
        <v>10544</v>
      </c>
      <c r="B545" s="5">
        <v>45363</v>
      </c>
      <c r="C545" s="4" t="s">
        <v>48</v>
      </c>
      <c r="D545" s="4" t="s">
        <v>36</v>
      </c>
      <c r="E545" s="4" t="s">
        <v>21</v>
      </c>
      <c r="F545" s="4" t="s">
        <v>52</v>
      </c>
      <c r="G545" s="4">
        <v>2</v>
      </c>
      <c r="H545" s="4">
        <v>10603</v>
      </c>
      <c r="I545" s="4">
        <v>0</v>
      </c>
      <c r="J545" s="4">
        <v>21206</v>
      </c>
      <c r="K545" s="4">
        <f t="shared" si="8"/>
        <v>6361.8</v>
      </c>
      <c r="L545" s="4" t="s">
        <v>42</v>
      </c>
      <c r="M545" s="4" t="s">
        <v>30</v>
      </c>
      <c r="N54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46" spans="1:14">
      <c r="A546" s="6">
        <v>10545</v>
      </c>
      <c r="B546" s="5">
        <v>45628</v>
      </c>
      <c r="C546" s="4" t="s">
        <v>31</v>
      </c>
      <c r="D546" s="4" t="s">
        <v>63</v>
      </c>
      <c r="E546" s="4" t="s">
        <v>33</v>
      </c>
      <c r="F546" s="4" t="s">
        <v>66</v>
      </c>
      <c r="G546" s="4">
        <v>3</v>
      </c>
      <c r="H546" s="4">
        <v>25042</v>
      </c>
      <c r="I546" s="4">
        <v>0.02</v>
      </c>
      <c r="J546" s="4">
        <v>75126</v>
      </c>
      <c r="K546" s="4">
        <f t="shared" si="8"/>
        <v>18781.5</v>
      </c>
      <c r="L546" s="4" t="s">
        <v>23</v>
      </c>
      <c r="M546" s="4" t="s">
        <v>24</v>
      </c>
      <c r="N54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47" spans="1:14">
      <c r="A547" s="6">
        <v>10546</v>
      </c>
      <c r="B547" s="5">
        <v>45553</v>
      </c>
      <c r="C547" s="4" t="s">
        <v>43</v>
      </c>
      <c r="D547" s="4" t="s">
        <v>44</v>
      </c>
      <c r="E547" s="4" t="s">
        <v>16</v>
      </c>
      <c r="F547" s="4" t="s">
        <v>65</v>
      </c>
      <c r="G547" s="4">
        <v>4</v>
      </c>
      <c r="H547" s="4">
        <v>10890</v>
      </c>
      <c r="I547" s="4">
        <v>0.05</v>
      </c>
      <c r="J547" s="4">
        <v>43560</v>
      </c>
      <c r="K547" s="4">
        <f t="shared" si="8"/>
        <v>8712</v>
      </c>
      <c r="L547" s="4" t="s">
        <v>55</v>
      </c>
      <c r="M547" s="4" t="s">
        <v>54</v>
      </c>
      <c r="N54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48" spans="1:14">
      <c r="A548" s="6">
        <v>10547</v>
      </c>
      <c r="B548" s="5">
        <v>45436</v>
      </c>
      <c r="C548" s="4" t="s">
        <v>35</v>
      </c>
      <c r="D548" s="4" t="s">
        <v>15</v>
      </c>
      <c r="E548" s="4" t="s">
        <v>45</v>
      </c>
      <c r="F548" s="4" t="s">
        <v>57</v>
      </c>
      <c r="G548" s="4">
        <v>7</v>
      </c>
      <c r="H548" s="4">
        <v>48466</v>
      </c>
      <c r="I548" s="4">
        <v>0.01</v>
      </c>
      <c r="J548" s="4">
        <v>339262</v>
      </c>
      <c r="K548" s="4">
        <f t="shared" si="8"/>
        <v>118741.7</v>
      </c>
      <c r="L548" s="4" t="s">
        <v>50</v>
      </c>
      <c r="M548" s="4" t="s">
        <v>19</v>
      </c>
      <c r="N54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49" spans="1:14">
      <c r="A549" s="6">
        <v>10548</v>
      </c>
      <c r="B549" s="5">
        <v>45514</v>
      </c>
      <c r="C549" s="4" t="s">
        <v>48</v>
      </c>
      <c r="D549" s="4" t="s">
        <v>20</v>
      </c>
      <c r="E549" s="4" t="s">
        <v>45</v>
      </c>
      <c r="F549" s="4" t="s">
        <v>57</v>
      </c>
      <c r="G549" s="4">
        <v>5</v>
      </c>
      <c r="H549" s="4">
        <v>40791</v>
      </c>
      <c r="I549" s="4">
        <v>0.02</v>
      </c>
      <c r="J549" s="4">
        <v>203955</v>
      </c>
      <c r="K549" s="4">
        <f t="shared" si="8"/>
        <v>71384.25</v>
      </c>
      <c r="L549" s="4" t="s">
        <v>61</v>
      </c>
      <c r="M549" s="4" t="s">
        <v>54</v>
      </c>
      <c r="N54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50" spans="1:14">
      <c r="A550" s="6">
        <v>10549</v>
      </c>
      <c r="B550" s="5">
        <v>45598</v>
      </c>
      <c r="C550" s="4" t="s">
        <v>31</v>
      </c>
      <c r="D550" s="4" t="s">
        <v>20</v>
      </c>
      <c r="E550" s="4" t="s">
        <v>45</v>
      </c>
      <c r="F550" s="4" t="s">
        <v>60</v>
      </c>
      <c r="G550" s="4">
        <v>2</v>
      </c>
      <c r="H550" s="4">
        <v>14598</v>
      </c>
      <c r="I550" s="4">
        <v>0.02</v>
      </c>
      <c r="J550" s="4">
        <v>29196</v>
      </c>
      <c r="K550" s="4">
        <f t="shared" si="8"/>
        <v>10218.599999999999</v>
      </c>
      <c r="L550" s="4" t="s">
        <v>47</v>
      </c>
      <c r="M550" s="4" t="s">
        <v>24</v>
      </c>
      <c r="N55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51" spans="1:14">
      <c r="A551" s="6">
        <v>10550</v>
      </c>
      <c r="B551" s="5">
        <v>45637</v>
      </c>
      <c r="C551" s="4" t="s">
        <v>25</v>
      </c>
      <c r="D551" s="4" t="s">
        <v>63</v>
      </c>
      <c r="E551" s="4" t="s">
        <v>27</v>
      </c>
      <c r="F551" s="4" t="s">
        <v>64</v>
      </c>
      <c r="G551" s="4">
        <v>2</v>
      </c>
      <c r="H551" s="4">
        <v>37343</v>
      </c>
      <c r="I551" s="4">
        <v>0.05</v>
      </c>
      <c r="J551" s="4">
        <v>74686</v>
      </c>
      <c r="K551" s="4">
        <f t="shared" si="8"/>
        <v>7468.6</v>
      </c>
      <c r="L551" s="4" t="s">
        <v>23</v>
      </c>
      <c r="M551" s="4" t="s">
        <v>24</v>
      </c>
      <c r="N55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52" spans="1:14">
      <c r="A552" s="6">
        <v>10551</v>
      </c>
      <c r="B552" s="5">
        <v>45430</v>
      </c>
      <c r="C552" s="4" t="s">
        <v>25</v>
      </c>
      <c r="D552" s="4" t="s">
        <v>32</v>
      </c>
      <c r="E552" s="4" t="s">
        <v>21</v>
      </c>
      <c r="F552" s="4" t="s">
        <v>22</v>
      </c>
      <c r="G552" s="4">
        <v>6</v>
      </c>
      <c r="H552" s="4">
        <v>32601</v>
      </c>
      <c r="I552" s="4">
        <v>0</v>
      </c>
      <c r="J552" s="4">
        <v>195606</v>
      </c>
      <c r="K552" s="4">
        <f t="shared" si="8"/>
        <v>58681.799999999996</v>
      </c>
      <c r="L552" s="4" t="s">
        <v>50</v>
      </c>
      <c r="M552" s="4" t="s">
        <v>19</v>
      </c>
      <c r="N55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53" spans="1:14">
      <c r="A553" s="6">
        <v>10552</v>
      </c>
      <c r="B553" s="5">
        <v>45646</v>
      </c>
      <c r="C553" s="4" t="s">
        <v>43</v>
      </c>
      <c r="D553" s="4" t="s">
        <v>63</v>
      </c>
      <c r="E553" s="4" t="s">
        <v>45</v>
      </c>
      <c r="F553" s="4" t="s">
        <v>60</v>
      </c>
      <c r="G553" s="4">
        <v>5</v>
      </c>
      <c r="H553" s="4">
        <v>11589</v>
      </c>
      <c r="I553" s="4">
        <v>0.01</v>
      </c>
      <c r="J553" s="4">
        <v>57945</v>
      </c>
      <c r="K553" s="4">
        <f t="shared" si="8"/>
        <v>20280.75</v>
      </c>
      <c r="L553" s="4" t="s">
        <v>23</v>
      </c>
      <c r="M553" s="4" t="s">
        <v>24</v>
      </c>
      <c r="N55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54" spans="1:14">
      <c r="A554" s="6">
        <v>10553</v>
      </c>
      <c r="B554" s="5">
        <v>45387</v>
      </c>
      <c r="C554" s="4" t="s">
        <v>48</v>
      </c>
      <c r="D554" s="4" t="s">
        <v>20</v>
      </c>
      <c r="E554" s="4" t="s">
        <v>45</v>
      </c>
      <c r="F554" s="4" t="s">
        <v>57</v>
      </c>
      <c r="G554" s="4">
        <v>2</v>
      </c>
      <c r="H554" s="4">
        <v>29430</v>
      </c>
      <c r="I554" s="4">
        <v>0.05</v>
      </c>
      <c r="J554" s="4">
        <v>58860</v>
      </c>
      <c r="K554" s="4">
        <f t="shared" si="8"/>
        <v>20601</v>
      </c>
      <c r="L554" s="4" t="s">
        <v>37</v>
      </c>
      <c r="M554" s="4" t="s">
        <v>19</v>
      </c>
      <c r="N55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55" spans="1:14">
      <c r="A555" s="6">
        <v>10554</v>
      </c>
      <c r="B555" s="5">
        <v>45480</v>
      </c>
      <c r="C555" s="4" t="s">
        <v>31</v>
      </c>
      <c r="D555" s="4" t="s">
        <v>26</v>
      </c>
      <c r="E555" s="4" t="s">
        <v>33</v>
      </c>
      <c r="F555" s="4" t="s">
        <v>34</v>
      </c>
      <c r="G555" s="4">
        <v>8</v>
      </c>
      <c r="H555" s="4">
        <v>37730</v>
      </c>
      <c r="I555" s="4">
        <v>0.02</v>
      </c>
      <c r="J555" s="4">
        <v>301840</v>
      </c>
      <c r="K555" s="4">
        <f t="shared" si="8"/>
        <v>75460</v>
      </c>
      <c r="L555" s="4" t="s">
        <v>53</v>
      </c>
      <c r="M555" s="4" t="s">
        <v>54</v>
      </c>
      <c r="N55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56" spans="1:14">
      <c r="A556" s="6">
        <v>10555</v>
      </c>
      <c r="B556" s="5">
        <v>45580</v>
      </c>
      <c r="C556" s="4" t="s">
        <v>25</v>
      </c>
      <c r="D556" s="4" t="s">
        <v>44</v>
      </c>
      <c r="E556" s="4" t="s">
        <v>27</v>
      </c>
      <c r="F556" s="4" t="s">
        <v>64</v>
      </c>
      <c r="G556" s="4">
        <v>4</v>
      </c>
      <c r="H556" s="4">
        <v>44856</v>
      </c>
      <c r="I556" s="4">
        <v>0</v>
      </c>
      <c r="J556" s="4">
        <v>179424</v>
      </c>
      <c r="K556" s="4">
        <f t="shared" si="8"/>
        <v>17942.400000000001</v>
      </c>
      <c r="L556" s="4" t="s">
        <v>58</v>
      </c>
      <c r="M556" s="4" t="s">
        <v>24</v>
      </c>
      <c r="N55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57" spans="1:14">
      <c r="A557" s="6">
        <v>10556</v>
      </c>
      <c r="B557" s="5">
        <v>45296</v>
      </c>
      <c r="C557" s="4" t="s">
        <v>25</v>
      </c>
      <c r="D557" s="4" t="s">
        <v>44</v>
      </c>
      <c r="E557" s="4" t="s">
        <v>27</v>
      </c>
      <c r="F557" s="4" t="s">
        <v>62</v>
      </c>
      <c r="G557" s="4">
        <v>6</v>
      </c>
      <c r="H557" s="4">
        <v>15191</v>
      </c>
      <c r="I557" s="4">
        <v>0.02</v>
      </c>
      <c r="J557" s="4">
        <v>91146</v>
      </c>
      <c r="K557" s="4">
        <f t="shared" si="8"/>
        <v>9114.6</v>
      </c>
      <c r="L557" s="4" t="s">
        <v>67</v>
      </c>
      <c r="M557" s="4" t="s">
        <v>30</v>
      </c>
      <c r="N55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58" spans="1:14">
      <c r="A558" s="6">
        <v>10557</v>
      </c>
      <c r="B558" s="5">
        <v>45621</v>
      </c>
      <c r="C558" s="4" t="s">
        <v>48</v>
      </c>
      <c r="D558" s="4" t="s">
        <v>15</v>
      </c>
      <c r="E558" s="4" t="s">
        <v>16</v>
      </c>
      <c r="F558" s="4" t="s">
        <v>65</v>
      </c>
      <c r="G558" s="4">
        <v>2</v>
      </c>
      <c r="H558" s="4">
        <v>48216</v>
      </c>
      <c r="I558" s="4">
        <v>0.02</v>
      </c>
      <c r="J558" s="4">
        <v>96432</v>
      </c>
      <c r="K558" s="4">
        <f t="shared" si="8"/>
        <v>19286.400000000001</v>
      </c>
      <c r="L558" s="4" t="s">
        <v>47</v>
      </c>
      <c r="M558" s="4" t="s">
        <v>24</v>
      </c>
      <c r="N55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59" spans="1:14">
      <c r="A559" s="6">
        <v>10558</v>
      </c>
      <c r="B559" s="5">
        <v>45499</v>
      </c>
      <c r="C559" s="4" t="s">
        <v>35</v>
      </c>
      <c r="D559" s="4" t="s">
        <v>44</v>
      </c>
      <c r="E559" s="4" t="s">
        <v>33</v>
      </c>
      <c r="F559" s="4" t="s">
        <v>66</v>
      </c>
      <c r="G559" s="4">
        <v>7</v>
      </c>
      <c r="H559" s="4">
        <v>13317</v>
      </c>
      <c r="I559" s="4">
        <v>0</v>
      </c>
      <c r="J559" s="4">
        <v>93219</v>
      </c>
      <c r="K559" s="4">
        <f t="shared" si="8"/>
        <v>23304.75</v>
      </c>
      <c r="L559" s="4" t="s">
        <v>53</v>
      </c>
      <c r="M559" s="4" t="s">
        <v>54</v>
      </c>
      <c r="N55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60" spans="1:14">
      <c r="A560" s="6">
        <v>10559</v>
      </c>
      <c r="B560" s="5">
        <v>45478</v>
      </c>
      <c r="C560" s="4" t="s">
        <v>48</v>
      </c>
      <c r="D560" s="4" t="s">
        <v>20</v>
      </c>
      <c r="E560" s="4" t="s">
        <v>16</v>
      </c>
      <c r="F560" s="4" t="s">
        <v>17</v>
      </c>
      <c r="G560" s="4">
        <v>9</v>
      </c>
      <c r="H560" s="4">
        <v>29141</v>
      </c>
      <c r="I560" s="4">
        <v>0.01</v>
      </c>
      <c r="J560" s="4">
        <v>262269</v>
      </c>
      <c r="K560" s="4">
        <f t="shared" si="8"/>
        <v>52453.8</v>
      </c>
      <c r="L560" s="4" t="s">
        <v>53</v>
      </c>
      <c r="M560" s="4" t="s">
        <v>54</v>
      </c>
      <c r="N56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61" spans="1:14">
      <c r="A561" s="6">
        <v>10560</v>
      </c>
      <c r="B561" s="5">
        <v>45538</v>
      </c>
      <c r="C561" s="4" t="s">
        <v>48</v>
      </c>
      <c r="D561" s="4" t="s">
        <v>32</v>
      </c>
      <c r="E561" s="4" t="s">
        <v>16</v>
      </c>
      <c r="F561" s="4" t="s">
        <v>49</v>
      </c>
      <c r="G561" s="4">
        <v>4</v>
      </c>
      <c r="H561" s="4">
        <v>27671</v>
      </c>
      <c r="I561" s="4">
        <v>0.01</v>
      </c>
      <c r="J561" s="4">
        <v>110684</v>
      </c>
      <c r="K561" s="4">
        <f t="shared" si="8"/>
        <v>22136.800000000003</v>
      </c>
      <c r="L561" s="4" t="s">
        <v>55</v>
      </c>
      <c r="M561" s="4" t="s">
        <v>54</v>
      </c>
      <c r="N56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62" spans="1:14">
      <c r="A562" s="6">
        <v>10561</v>
      </c>
      <c r="B562" s="5">
        <v>45635</v>
      </c>
      <c r="C562" s="4" t="s">
        <v>35</v>
      </c>
      <c r="D562" s="4" t="s">
        <v>41</v>
      </c>
      <c r="E562" s="4" t="s">
        <v>27</v>
      </c>
      <c r="F562" s="4" t="s">
        <v>64</v>
      </c>
      <c r="G562" s="4">
        <v>6</v>
      </c>
      <c r="H562" s="4">
        <v>22164</v>
      </c>
      <c r="I562" s="4">
        <v>0.02</v>
      </c>
      <c r="J562" s="4">
        <v>132984</v>
      </c>
      <c r="K562" s="4">
        <f t="shared" si="8"/>
        <v>13298.400000000001</v>
      </c>
      <c r="L562" s="4" t="s">
        <v>23</v>
      </c>
      <c r="M562" s="4" t="s">
        <v>24</v>
      </c>
      <c r="N56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63" spans="1:14">
      <c r="A563" s="6">
        <v>10562</v>
      </c>
      <c r="B563" s="5">
        <v>45530</v>
      </c>
      <c r="C563" s="4" t="s">
        <v>14</v>
      </c>
      <c r="D563" s="4" t="s">
        <v>36</v>
      </c>
      <c r="E563" s="4" t="s">
        <v>21</v>
      </c>
      <c r="F563" s="4" t="s">
        <v>22</v>
      </c>
      <c r="G563" s="4">
        <v>6</v>
      </c>
      <c r="H563" s="4">
        <v>39218</v>
      </c>
      <c r="I563" s="4">
        <v>0.05</v>
      </c>
      <c r="J563" s="4">
        <v>235308</v>
      </c>
      <c r="K563" s="4">
        <f t="shared" si="8"/>
        <v>70592.399999999994</v>
      </c>
      <c r="L563" s="4" t="s">
        <v>61</v>
      </c>
      <c r="M563" s="4" t="s">
        <v>54</v>
      </c>
      <c r="N56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64" spans="1:14">
      <c r="A564" s="6">
        <v>10563</v>
      </c>
      <c r="B564" s="5">
        <v>45381</v>
      </c>
      <c r="C564" s="4" t="s">
        <v>43</v>
      </c>
      <c r="D564" s="4" t="s">
        <v>20</v>
      </c>
      <c r="E564" s="4" t="s">
        <v>27</v>
      </c>
      <c r="F564" s="4" t="s">
        <v>28</v>
      </c>
      <c r="G564" s="4">
        <v>6</v>
      </c>
      <c r="H564" s="4">
        <v>14675</v>
      </c>
      <c r="I564" s="4">
        <v>0.02</v>
      </c>
      <c r="J564" s="4">
        <v>88050</v>
      </c>
      <c r="K564" s="4">
        <f t="shared" si="8"/>
        <v>8805</v>
      </c>
      <c r="L564" s="4" t="s">
        <v>42</v>
      </c>
      <c r="M564" s="4" t="s">
        <v>30</v>
      </c>
      <c r="N56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65" spans="1:14">
      <c r="A565" s="6">
        <v>10564</v>
      </c>
      <c r="B565" s="5">
        <v>45640</v>
      </c>
      <c r="C565" s="4" t="s">
        <v>31</v>
      </c>
      <c r="D565" s="4" t="s">
        <v>63</v>
      </c>
      <c r="E565" s="4" t="s">
        <v>21</v>
      </c>
      <c r="F565" s="4" t="s">
        <v>22</v>
      </c>
      <c r="G565" s="4">
        <v>6</v>
      </c>
      <c r="H565" s="4">
        <v>40553</v>
      </c>
      <c r="I565" s="4">
        <v>0.01</v>
      </c>
      <c r="J565" s="4">
        <v>243318</v>
      </c>
      <c r="K565" s="4">
        <f t="shared" si="8"/>
        <v>72995.399999999994</v>
      </c>
      <c r="L565" s="4" t="s">
        <v>23</v>
      </c>
      <c r="M565" s="4" t="s">
        <v>24</v>
      </c>
      <c r="N56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66" spans="1:14">
      <c r="A566" s="6">
        <v>10565</v>
      </c>
      <c r="B566" s="5">
        <v>45404</v>
      </c>
      <c r="C566" s="4" t="s">
        <v>48</v>
      </c>
      <c r="D566" s="4" t="s">
        <v>15</v>
      </c>
      <c r="E566" s="4" t="s">
        <v>45</v>
      </c>
      <c r="F566" s="4" t="s">
        <v>57</v>
      </c>
      <c r="G566" s="4">
        <v>1</v>
      </c>
      <c r="H566" s="4">
        <v>21855</v>
      </c>
      <c r="I566" s="4">
        <v>0.05</v>
      </c>
      <c r="J566" s="4">
        <v>21855</v>
      </c>
      <c r="K566" s="4">
        <f t="shared" si="8"/>
        <v>7649.2499999999991</v>
      </c>
      <c r="L566" s="4" t="s">
        <v>37</v>
      </c>
      <c r="M566" s="4" t="s">
        <v>19</v>
      </c>
      <c r="N56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67" spans="1:14">
      <c r="A567" s="6">
        <v>10566</v>
      </c>
      <c r="B567" s="5">
        <v>45386</v>
      </c>
      <c r="C567" s="4" t="s">
        <v>31</v>
      </c>
      <c r="D567" s="4" t="s">
        <v>26</v>
      </c>
      <c r="E567" s="4" t="s">
        <v>33</v>
      </c>
      <c r="F567" s="4" t="s">
        <v>34</v>
      </c>
      <c r="G567" s="4">
        <v>5</v>
      </c>
      <c r="H567" s="4">
        <v>29310</v>
      </c>
      <c r="I567" s="4">
        <v>0.05</v>
      </c>
      <c r="J567" s="4">
        <v>146550</v>
      </c>
      <c r="K567" s="4">
        <f t="shared" si="8"/>
        <v>36637.5</v>
      </c>
      <c r="L567" s="4" t="s">
        <v>37</v>
      </c>
      <c r="M567" s="4" t="s">
        <v>19</v>
      </c>
      <c r="N56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68" spans="1:14">
      <c r="A568" s="6">
        <v>10567</v>
      </c>
      <c r="B568" s="5">
        <v>45335</v>
      </c>
      <c r="C568" s="4" t="s">
        <v>35</v>
      </c>
      <c r="D568" s="4" t="s">
        <v>32</v>
      </c>
      <c r="E568" s="4" t="s">
        <v>33</v>
      </c>
      <c r="F568" s="4" t="s">
        <v>59</v>
      </c>
      <c r="G568" s="4">
        <v>4</v>
      </c>
      <c r="H568" s="4">
        <v>16790</v>
      </c>
      <c r="I568" s="4">
        <v>0.01</v>
      </c>
      <c r="J568" s="4">
        <v>67160</v>
      </c>
      <c r="K568" s="4">
        <f t="shared" si="8"/>
        <v>16790</v>
      </c>
      <c r="L568" s="4" t="s">
        <v>29</v>
      </c>
      <c r="M568" s="4" t="s">
        <v>30</v>
      </c>
      <c r="N56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69" spans="1:14">
      <c r="A569" s="6">
        <v>10568</v>
      </c>
      <c r="B569" s="5">
        <v>45640</v>
      </c>
      <c r="C569" s="4" t="s">
        <v>35</v>
      </c>
      <c r="D569" s="4" t="s">
        <v>63</v>
      </c>
      <c r="E569" s="4" t="s">
        <v>21</v>
      </c>
      <c r="F569" s="4" t="s">
        <v>22</v>
      </c>
      <c r="G569" s="4">
        <v>4</v>
      </c>
      <c r="H569" s="4">
        <v>25860</v>
      </c>
      <c r="I569" s="4">
        <v>0.05</v>
      </c>
      <c r="J569" s="4">
        <v>103440</v>
      </c>
      <c r="K569" s="4">
        <f t="shared" si="8"/>
        <v>31032</v>
      </c>
      <c r="L569" s="4" t="s">
        <v>23</v>
      </c>
      <c r="M569" s="4" t="s">
        <v>24</v>
      </c>
      <c r="N56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70" spans="1:14">
      <c r="A570" s="6">
        <v>10569</v>
      </c>
      <c r="B570" s="5">
        <v>45575</v>
      </c>
      <c r="C570" s="4" t="s">
        <v>14</v>
      </c>
      <c r="D570" s="4" t="s">
        <v>41</v>
      </c>
      <c r="E570" s="4" t="s">
        <v>21</v>
      </c>
      <c r="F570" s="4" t="s">
        <v>52</v>
      </c>
      <c r="G570" s="4">
        <v>6</v>
      </c>
      <c r="H570" s="4">
        <v>21323</v>
      </c>
      <c r="I570" s="4">
        <v>0.01</v>
      </c>
      <c r="J570" s="4">
        <v>127938</v>
      </c>
      <c r="K570" s="4">
        <f t="shared" si="8"/>
        <v>38381.4</v>
      </c>
      <c r="L570" s="4" t="s">
        <v>58</v>
      </c>
      <c r="M570" s="4" t="s">
        <v>24</v>
      </c>
      <c r="N57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71" spans="1:14">
      <c r="A571" s="6">
        <v>10570</v>
      </c>
      <c r="B571" s="5">
        <v>45338</v>
      </c>
      <c r="C571" s="4" t="s">
        <v>43</v>
      </c>
      <c r="D571" s="4" t="s">
        <v>26</v>
      </c>
      <c r="E571" s="4" t="s">
        <v>21</v>
      </c>
      <c r="F571" s="4" t="s">
        <v>22</v>
      </c>
      <c r="G571" s="4">
        <v>4</v>
      </c>
      <c r="H571" s="4">
        <v>36349</v>
      </c>
      <c r="I571" s="4">
        <v>0.05</v>
      </c>
      <c r="J571" s="4">
        <v>145396</v>
      </c>
      <c r="K571" s="4">
        <f t="shared" si="8"/>
        <v>43618.799999999996</v>
      </c>
      <c r="L571" s="4" t="s">
        <v>29</v>
      </c>
      <c r="M571" s="4" t="s">
        <v>30</v>
      </c>
      <c r="N57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72" spans="1:14">
      <c r="A572" s="6">
        <v>10571</v>
      </c>
      <c r="B572" s="5">
        <v>45446</v>
      </c>
      <c r="C572" s="4" t="s">
        <v>43</v>
      </c>
      <c r="D572" s="4" t="s">
        <v>32</v>
      </c>
      <c r="E572" s="4" t="s">
        <v>45</v>
      </c>
      <c r="F572" s="4" t="s">
        <v>57</v>
      </c>
      <c r="G572" s="4">
        <v>6</v>
      </c>
      <c r="H572" s="4">
        <v>32301</v>
      </c>
      <c r="I572" s="4">
        <v>0.05</v>
      </c>
      <c r="J572" s="4">
        <v>193806</v>
      </c>
      <c r="K572" s="4">
        <f t="shared" si="8"/>
        <v>67832.099999999991</v>
      </c>
      <c r="L572" s="4" t="s">
        <v>18</v>
      </c>
      <c r="M572" s="4" t="s">
        <v>19</v>
      </c>
      <c r="N57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73" spans="1:14">
      <c r="A573" s="6">
        <v>10572</v>
      </c>
      <c r="B573" s="5">
        <v>45297</v>
      </c>
      <c r="C573" s="4" t="s">
        <v>31</v>
      </c>
      <c r="D573" s="4" t="s">
        <v>36</v>
      </c>
      <c r="E573" s="4" t="s">
        <v>16</v>
      </c>
      <c r="F573" s="4" t="s">
        <v>49</v>
      </c>
      <c r="G573" s="4">
        <v>2</v>
      </c>
      <c r="H573" s="4">
        <v>29164</v>
      </c>
      <c r="I573" s="4">
        <v>0.05</v>
      </c>
      <c r="J573" s="4">
        <v>58328</v>
      </c>
      <c r="K573" s="4">
        <f t="shared" si="8"/>
        <v>11665.6</v>
      </c>
      <c r="L573" s="4" t="s">
        <v>67</v>
      </c>
      <c r="M573" s="4" t="s">
        <v>30</v>
      </c>
      <c r="N57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74" spans="1:14">
      <c r="A574" s="6">
        <v>10573</v>
      </c>
      <c r="B574" s="5">
        <v>45400</v>
      </c>
      <c r="C574" s="4" t="s">
        <v>14</v>
      </c>
      <c r="D574" s="4" t="s">
        <v>44</v>
      </c>
      <c r="E574" s="4" t="s">
        <v>33</v>
      </c>
      <c r="F574" s="4" t="s">
        <v>34</v>
      </c>
      <c r="G574" s="4">
        <v>2</v>
      </c>
      <c r="H574" s="4">
        <v>32308</v>
      </c>
      <c r="I574" s="4">
        <v>0.01</v>
      </c>
      <c r="J574" s="4">
        <v>64616</v>
      </c>
      <c r="K574" s="4">
        <f t="shared" si="8"/>
        <v>16154</v>
      </c>
      <c r="L574" s="4" t="s">
        <v>37</v>
      </c>
      <c r="M574" s="4" t="s">
        <v>19</v>
      </c>
      <c r="N57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75" spans="1:14">
      <c r="A575" s="6">
        <v>10574</v>
      </c>
      <c r="B575" s="5">
        <v>45306</v>
      </c>
      <c r="C575" s="4" t="s">
        <v>14</v>
      </c>
      <c r="D575" s="4" t="s">
        <v>32</v>
      </c>
      <c r="E575" s="4" t="s">
        <v>45</v>
      </c>
      <c r="F575" s="4" t="s">
        <v>46</v>
      </c>
      <c r="G575" s="4">
        <v>9</v>
      </c>
      <c r="H575" s="4">
        <v>11068</v>
      </c>
      <c r="I575" s="4">
        <v>0</v>
      </c>
      <c r="J575" s="4">
        <v>99612</v>
      </c>
      <c r="K575" s="4">
        <f t="shared" si="8"/>
        <v>34864.199999999997</v>
      </c>
      <c r="L575" s="4" t="s">
        <v>67</v>
      </c>
      <c r="M575" s="4" t="s">
        <v>30</v>
      </c>
      <c r="N57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76" spans="1:14">
      <c r="A576" s="6">
        <v>10575</v>
      </c>
      <c r="B576" s="5">
        <v>45571</v>
      </c>
      <c r="C576" s="4" t="s">
        <v>43</v>
      </c>
      <c r="D576" s="4" t="s">
        <v>44</v>
      </c>
      <c r="E576" s="4" t="s">
        <v>33</v>
      </c>
      <c r="F576" s="4" t="s">
        <v>34</v>
      </c>
      <c r="G576" s="4">
        <v>2</v>
      </c>
      <c r="H576" s="4">
        <v>36131</v>
      </c>
      <c r="I576" s="4">
        <v>0.05</v>
      </c>
      <c r="J576" s="4">
        <v>72262</v>
      </c>
      <c r="K576" s="4">
        <f t="shared" si="8"/>
        <v>18065.5</v>
      </c>
      <c r="L576" s="4" t="s">
        <v>58</v>
      </c>
      <c r="M576" s="4" t="s">
        <v>24</v>
      </c>
      <c r="N57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77" spans="1:14">
      <c r="A577" s="6">
        <v>10576</v>
      </c>
      <c r="B577" s="5">
        <v>45387</v>
      </c>
      <c r="C577" s="4" t="s">
        <v>43</v>
      </c>
      <c r="D577" s="4" t="s">
        <v>51</v>
      </c>
      <c r="E577" s="4" t="s">
        <v>33</v>
      </c>
      <c r="F577" s="4" t="s">
        <v>66</v>
      </c>
      <c r="G577" s="4">
        <v>1</v>
      </c>
      <c r="H577" s="4">
        <v>38770</v>
      </c>
      <c r="I577" s="4">
        <v>0.02</v>
      </c>
      <c r="J577" s="4">
        <v>38770</v>
      </c>
      <c r="K577" s="4">
        <f t="shared" si="8"/>
        <v>9692.5</v>
      </c>
      <c r="L577" s="4" t="s">
        <v>37</v>
      </c>
      <c r="M577" s="4" t="s">
        <v>19</v>
      </c>
      <c r="N57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78" spans="1:14">
      <c r="A578" s="6">
        <v>10577</v>
      </c>
      <c r="B578" s="5">
        <v>45398</v>
      </c>
      <c r="C578" s="4" t="s">
        <v>14</v>
      </c>
      <c r="D578" s="4" t="s">
        <v>15</v>
      </c>
      <c r="E578" s="4" t="s">
        <v>21</v>
      </c>
      <c r="F578" s="4" t="s">
        <v>56</v>
      </c>
      <c r="G578" s="4">
        <v>1</v>
      </c>
      <c r="H578" s="4">
        <v>18755</v>
      </c>
      <c r="I578" s="4">
        <v>0.05</v>
      </c>
      <c r="J578" s="4">
        <v>18755</v>
      </c>
      <c r="K578" s="4">
        <f t="shared" ref="K578:K641" si="9">J578*N578</f>
        <v>5626.5</v>
      </c>
      <c r="L578" s="4" t="s">
        <v>37</v>
      </c>
      <c r="M578" s="4" t="s">
        <v>19</v>
      </c>
      <c r="N57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79" spans="1:14">
      <c r="A579" s="6">
        <v>10578</v>
      </c>
      <c r="B579" s="5">
        <v>45652</v>
      </c>
      <c r="C579" s="4" t="s">
        <v>14</v>
      </c>
      <c r="D579" s="4" t="s">
        <v>63</v>
      </c>
      <c r="E579" s="4" t="s">
        <v>45</v>
      </c>
      <c r="F579" s="4" t="s">
        <v>57</v>
      </c>
      <c r="G579" s="4">
        <v>2</v>
      </c>
      <c r="H579" s="4">
        <v>31313</v>
      </c>
      <c r="I579" s="4">
        <v>0.05</v>
      </c>
      <c r="J579" s="4">
        <v>62626</v>
      </c>
      <c r="K579" s="4">
        <f t="shared" si="9"/>
        <v>21919.1</v>
      </c>
      <c r="L579" s="4" t="s">
        <v>23</v>
      </c>
      <c r="M579" s="4" t="s">
        <v>24</v>
      </c>
      <c r="N57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80" spans="1:14">
      <c r="A580" s="6">
        <v>10579</v>
      </c>
      <c r="B580" s="5">
        <v>45522</v>
      </c>
      <c r="C580" s="4" t="s">
        <v>43</v>
      </c>
      <c r="D580" s="4" t="s">
        <v>51</v>
      </c>
      <c r="E580" s="4" t="s">
        <v>27</v>
      </c>
      <c r="F580" s="4" t="s">
        <v>62</v>
      </c>
      <c r="G580" s="4">
        <v>2</v>
      </c>
      <c r="H580" s="4">
        <v>47250</v>
      </c>
      <c r="I580" s="4">
        <v>0.02</v>
      </c>
      <c r="J580" s="4">
        <v>94500</v>
      </c>
      <c r="K580" s="4">
        <f t="shared" si="9"/>
        <v>9450</v>
      </c>
      <c r="L580" s="4" t="s">
        <v>61</v>
      </c>
      <c r="M580" s="4" t="s">
        <v>54</v>
      </c>
      <c r="N58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81" spans="1:14">
      <c r="A581" s="6">
        <v>10580</v>
      </c>
      <c r="B581" s="5">
        <v>45471</v>
      </c>
      <c r="C581" s="4" t="s">
        <v>14</v>
      </c>
      <c r="D581" s="4" t="s">
        <v>15</v>
      </c>
      <c r="E581" s="4" t="s">
        <v>45</v>
      </c>
      <c r="F581" s="4" t="s">
        <v>46</v>
      </c>
      <c r="G581" s="4">
        <v>6</v>
      </c>
      <c r="H581" s="4">
        <v>4009</v>
      </c>
      <c r="I581" s="4">
        <v>0</v>
      </c>
      <c r="J581" s="4">
        <v>24054</v>
      </c>
      <c r="K581" s="4">
        <f t="shared" si="9"/>
        <v>8418.9</v>
      </c>
      <c r="L581" s="4" t="s">
        <v>18</v>
      </c>
      <c r="M581" s="4" t="s">
        <v>19</v>
      </c>
      <c r="N58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82" spans="1:14">
      <c r="A582" s="6">
        <v>10581</v>
      </c>
      <c r="B582" s="5">
        <v>45574</v>
      </c>
      <c r="C582" s="4" t="s">
        <v>31</v>
      </c>
      <c r="D582" s="4" t="s">
        <v>38</v>
      </c>
      <c r="E582" s="4" t="s">
        <v>45</v>
      </c>
      <c r="F582" s="4" t="s">
        <v>60</v>
      </c>
      <c r="G582" s="4">
        <v>8</v>
      </c>
      <c r="H582" s="4">
        <v>42804</v>
      </c>
      <c r="I582" s="4">
        <v>0.05</v>
      </c>
      <c r="J582" s="4">
        <v>342432</v>
      </c>
      <c r="K582" s="4">
        <f t="shared" si="9"/>
        <v>119851.2</v>
      </c>
      <c r="L582" s="4" t="s">
        <v>58</v>
      </c>
      <c r="M582" s="4" t="s">
        <v>24</v>
      </c>
      <c r="N58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83" spans="1:14">
      <c r="A583" s="6">
        <v>10582</v>
      </c>
      <c r="B583" s="5">
        <v>45461</v>
      </c>
      <c r="C583" s="4" t="s">
        <v>35</v>
      </c>
      <c r="D583" s="4" t="s">
        <v>26</v>
      </c>
      <c r="E583" s="4" t="s">
        <v>21</v>
      </c>
      <c r="F583" s="4" t="s">
        <v>56</v>
      </c>
      <c r="G583" s="4">
        <v>6</v>
      </c>
      <c r="H583" s="4">
        <v>21947</v>
      </c>
      <c r="I583" s="4">
        <v>0.01</v>
      </c>
      <c r="J583" s="4">
        <v>131682</v>
      </c>
      <c r="K583" s="4">
        <f t="shared" si="9"/>
        <v>39504.6</v>
      </c>
      <c r="L583" s="4" t="s">
        <v>18</v>
      </c>
      <c r="M583" s="4" t="s">
        <v>19</v>
      </c>
      <c r="N58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84" spans="1:14">
      <c r="A584" s="6">
        <v>10583</v>
      </c>
      <c r="B584" s="5">
        <v>45404</v>
      </c>
      <c r="C584" s="4" t="s">
        <v>14</v>
      </c>
      <c r="D584" s="4" t="s">
        <v>38</v>
      </c>
      <c r="E584" s="4" t="s">
        <v>16</v>
      </c>
      <c r="F584" s="4" t="s">
        <v>17</v>
      </c>
      <c r="G584" s="4">
        <v>2</v>
      </c>
      <c r="H584" s="4">
        <v>6543</v>
      </c>
      <c r="I584" s="4">
        <v>0</v>
      </c>
      <c r="J584" s="4">
        <v>13086</v>
      </c>
      <c r="K584" s="4">
        <f t="shared" si="9"/>
        <v>2617.2000000000003</v>
      </c>
      <c r="L584" s="4" t="s">
        <v>37</v>
      </c>
      <c r="M584" s="4" t="s">
        <v>19</v>
      </c>
      <c r="N58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85" spans="1:14">
      <c r="A585" s="6">
        <v>10584</v>
      </c>
      <c r="B585" s="5">
        <v>45404</v>
      </c>
      <c r="C585" s="4" t="s">
        <v>14</v>
      </c>
      <c r="D585" s="4" t="s">
        <v>44</v>
      </c>
      <c r="E585" s="4" t="s">
        <v>21</v>
      </c>
      <c r="F585" s="4" t="s">
        <v>22</v>
      </c>
      <c r="G585" s="4">
        <v>7</v>
      </c>
      <c r="H585" s="4">
        <v>22057</v>
      </c>
      <c r="I585" s="4">
        <v>0</v>
      </c>
      <c r="J585" s="4">
        <v>154399</v>
      </c>
      <c r="K585" s="4">
        <f t="shared" si="9"/>
        <v>46319.7</v>
      </c>
      <c r="L585" s="4" t="s">
        <v>37</v>
      </c>
      <c r="M585" s="4" t="s">
        <v>19</v>
      </c>
      <c r="N58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</v>
      </c>
    </row>
    <row r="586" spans="1:14">
      <c r="A586" s="6">
        <v>10585</v>
      </c>
      <c r="B586" s="5">
        <v>45617</v>
      </c>
      <c r="C586" s="4" t="s">
        <v>25</v>
      </c>
      <c r="D586" s="4" t="s">
        <v>36</v>
      </c>
      <c r="E586" s="4" t="s">
        <v>27</v>
      </c>
      <c r="F586" s="4" t="s">
        <v>62</v>
      </c>
      <c r="G586" s="4">
        <v>5</v>
      </c>
      <c r="H586" s="4">
        <v>32899</v>
      </c>
      <c r="I586" s="4">
        <v>0.05</v>
      </c>
      <c r="J586" s="4">
        <v>164495</v>
      </c>
      <c r="K586" s="4">
        <f t="shared" si="9"/>
        <v>16449.5</v>
      </c>
      <c r="L586" s="4" t="s">
        <v>47</v>
      </c>
      <c r="M586" s="4" t="s">
        <v>24</v>
      </c>
      <c r="N58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87" spans="1:14">
      <c r="A587" s="6">
        <v>10586</v>
      </c>
      <c r="B587" s="5">
        <v>45452</v>
      </c>
      <c r="C587" s="4" t="s">
        <v>48</v>
      </c>
      <c r="D587" s="4" t="s">
        <v>41</v>
      </c>
      <c r="E587" s="4" t="s">
        <v>33</v>
      </c>
      <c r="F587" s="4" t="s">
        <v>34</v>
      </c>
      <c r="G587" s="4">
        <v>2</v>
      </c>
      <c r="H587" s="4">
        <v>4981</v>
      </c>
      <c r="I587" s="4">
        <v>0.01</v>
      </c>
      <c r="J587" s="4">
        <v>9962</v>
      </c>
      <c r="K587" s="4">
        <f t="shared" si="9"/>
        <v>2490.5</v>
      </c>
      <c r="L587" s="4" t="s">
        <v>18</v>
      </c>
      <c r="M587" s="4" t="s">
        <v>19</v>
      </c>
      <c r="N58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88" spans="1:14">
      <c r="A588" s="6">
        <v>10587</v>
      </c>
      <c r="B588" s="5">
        <v>45342</v>
      </c>
      <c r="C588" s="4" t="s">
        <v>48</v>
      </c>
      <c r="D588" s="4" t="s">
        <v>44</v>
      </c>
      <c r="E588" s="4" t="s">
        <v>45</v>
      </c>
      <c r="F588" s="4" t="s">
        <v>60</v>
      </c>
      <c r="G588" s="4">
        <v>4</v>
      </c>
      <c r="H588" s="4">
        <v>8189</v>
      </c>
      <c r="I588" s="4">
        <v>0.01</v>
      </c>
      <c r="J588" s="4">
        <v>32756</v>
      </c>
      <c r="K588" s="4">
        <f t="shared" si="9"/>
        <v>11464.599999999999</v>
      </c>
      <c r="L588" s="4" t="s">
        <v>29</v>
      </c>
      <c r="M588" s="4" t="s">
        <v>30</v>
      </c>
      <c r="N58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89" spans="1:14">
      <c r="A589" s="6">
        <v>10588</v>
      </c>
      <c r="B589" s="5">
        <v>45345</v>
      </c>
      <c r="C589" s="4" t="s">
        <v>35</v>
      </c>
      <c r="D589" s="4" t="s">
        <v>44</v>
      </c>
      <c r="E589" s="4" t="s">
        <v>16</v>
      </c>
      <c r="F589" s="4" t="s">
        <v>49</v>
      </c>
      <c r="G589" s="4">
        <v>4</v>
      </c>
      <c r="H589" s="4">
        <v>8697</v>
      </c>
      <c r="I589" s="4">
        <v>0.01</v>
      </c>
      <c r="J589" s="4">
        <v>34788</v>
      </c>
      <c r="K589" s="4">
        <f t="shared" si="9"/>
        <v>6957.6</v>
      </c>
      <c r="L589" s="4" t="s">
        <v>29</v>
      </c>
      <c r="M589" s="4" t="s">
        <v>30</v>
      </c>
      <c r="N58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90" spans="1:14">
      <c r="A590" s="6">
        <v>10589</v>
      </c>
      <c r="B590" s="5">
        <v>45545</v>
      </c>
      <c r="C590" s="4" t="s">
        <v>43</v>
      </c>
      <c r="D590" s="4" t="s">
        <v>41</v>
      </c>
      <c r="E590" s="4" t="s">
        <v>33</v>
      </c>
      <c r="F590" s="4" t="s">
        <v>66</v>
      </c>
      <c r="G590" s="4">
        <v>4</v>
      </c>
      <c r="H590" s="4">
        <v>11900</v>
      </c>
      <c r="I590" s="4">
        <v>0.05</v>
      </c>
      <c r="J590" s="4">
        <v>47600</v>
      </c>
      <c r="K590" s="4">
        <f t="shared" si="9"/>
        <v>11900</v>
      </c>
      <c r="L590" s="4" t="s">
        <v>55</v>
      </c>
      <c r="M590" s="4" t="s">
        <v>54</v>
      </c>
      <c r="N59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91" spans="1:14">
      <c r="A591" s="6">
        <v>10590</v>
      </c>
      <c r="B591" s="5">
        <v>45538</v>
      </c>
      <c r="C591" s="4" t="s">
        <v>35</v>
      </c>
      <c r="D591" s="4" t="s">
        <v>63</v>
      </c>
      <c r="E591" s="4" t="s">
        <v>45</v>
      </c>
      <c r="F591" s="4" t="s">
        <v>57</v>
      </c>
      <c r="G591" s="4">
        <v>7</v>
      </c>
      <c r="H591" s="4">
        <v>21013</v>
      </c>
      <c r="I591" s="4">
        <v>0.05</v>
      </c>
      <c r="J591" s="4">
        <v>147091</v>
      </c>
      <c r="K591" s="4">
        <f t="shared" si="9"/>
        <v>51481.85</v>
      </c>
      <c r="L591" s="4" t="s">
        <v>55</v>
      </c>
      <c r="M591" s="4" t="s">
        <v>54</v>
      </c>
      <c r="N59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592" spans="1:14">
      <c r="A592" s="6">
        <v>10591</v>
      </c>
      <c r="B592" s="5">
        <v>45570</v>
      </c>
      <c r="C592" s="4" t="s">
        <v>48</v>
      </c>
      <c r="D592" s="4" t="s">
        <v>36</v>
      </c>
      <c r="E592" s="4" t="s">
        <v>16</v>
      </c>
      <c r="F592" s="4" t="s">
        <v>49</v>
      </c>
      <c r="G592" s="4">
        <v>5</v>
      </c>
      <c r="H592" s="4">
        <v>44116</v>
      </c>
      <c r="I592" s="4">
        <v>0.02</v>
      </c>
      <c r="J592" s="4">
        <v>220580</v>
      </c>
      <c r="K592" s="4">
        <f t="shared" si="9"/>
        <v>44116</v>
      </c>
      <c r="L592" s="4" t="s">
        <v>58</v>
      </c>
      <c r="M592" s="4" t="s">
        <v>24</v>
      </c>
      <c r="N592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93" spans="1:14">
      <c r="A593" s="6">
        <v>10592</v>
      </c>
      <c r="B593" s="5">
        <v>45404</v>
      </c>
      <c r="C593" s="4" t="s">
        <v>35</v>
      </c>
      <c r="D593" s="4" t="s">
        <v>32</v>
      </c>
      <c r="E593" s="4" t="s">
        <v>27</v>
      </c>
      <c r="F593" s="4" t="s">
        <v>28</v>
      </c>
      <c r="G593" s="4">
        <v>1</v>
      </c>
      <c r="H593" s="4">
        <v>21955</v>
      </c>
      <c r="I593" s="4">
        <v>0.02</v>
      </c>
      <c r="J593" s="4">
        <v>21955</v>
      </c>
      <c r="K593" s="4">
        <f t="shared" si="9"/>
        <v>2195.5</v>
      </c>
      <c r="L593" s="4" t="s">
        <v>37</v>
      </c>
      <c r="M593" s="4" t="s">
        <v>19</v>
      </c>
      <c r="N593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94" spans="1:14">
      <c r="A594" s="6">
        <v>10593</v>
      </c>
      <c r="B594" s="5">
        <v>45443</v>
      </c>
      <c r="C594" s="4" t="s">
        <v>31</v>
      </c>
      <c r="D594" s="4" t="s">
        <v>32</v>
      </c>
      <c r="E594" s="4" t="s">
        <v>33</v>
      </c>
      <c r="F594" s="4" t="s">
        <v>66</v>
      </c>
      <c r="G594" s="4">
        <v>5</v>
      </c>
      <c r="H594" s="4">
        <v>49328</v>
      </c>
      <c r="I594" s="4">
        <v>0</v>
      </c>
      <c r="J594" s="4">
        <v>246640</v>
      </c>
      <c r="K594" s="4">
        <f t="shared" si="9"/>
        <v>61660</v>
      </c>
      <c r="L594" s="4" t="s">
        <v>50</v>
      </c>
      <c r="M594" s="4" t="s">
        <v>19</v>
      </c>
      <c r="N594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95" spans="1:14">
      <c r="A595" s="6">
        <v>10594</v>
      </c>
      <c r="B595" s="5">
        <v>45559</v>
      </c>
      <c r="C595" s="4" t="s">
        <v>48</v>
      </c>
      <c r="D595" s="4" t="s">
        <v>36</v>
      </c>
      <c r="E595" s="4" t="s">
        <v>16</v>
      </c>
      <c r="F595" s="4" t="s">
        <v>65</v>
      </c>
      <c r="G595" s="4">
        <v>5</v>
      </c>
      <c r="H595" s="4">
        <v>38371</v>
      </c>
      <c r="I595" s="4">
        <v>0.02</v>
      </c>
      <c r="J595" s="4">
        <v>191855</v>
      </c>
      <c r="K595" s="4">
        <f t="shared" si="9"/>
        <v>38371</v>
      </c>
      <c r="L595" s="4" t="s">
        <v>55</v>
      </c>
      <c r="M595" s="4" t="s">
        <v>54</v>
      </c>
      <c r="N595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96" spans="1:14">
      <c r="A596" s="6">
        <v>10595</v>
      </c>
      <c r="B596" s="5">
        <v>45453</v>
      </c>
      <c r="C596" s="4" t="s">
        <v>43</v>
      </c>
      <c r="D596" s="4" t="s">
        <v>63</v>
      </c>
      <c r="E596" s="4" t="s">
        <v>16</v>
      </c>
      <c r="F596" s="4" t="s">
        <v>65</v>
      </c>
      <c r="G596" s="4">
        <v>6</v>
      </c>
      <c r="H596" s="4">
        <v>5042</v>
      </c>
      <c r="I596" s="4">
        <v>0</v>
      </c>
      <c r="J596" s="4">
        <v>30252</v>
      </c>
      <c r="K596" s="4">
        <f t="shared" si="9"/>
        <v>6050.4000000000005</v>
      </c>
      <c r="L596" s="4" t="s">
        <v>18</v>
      </c>
      <c r="M596" s="4" t="s">
        <v>19</v>
      </c>
      <c r="N596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</v>
      </c>
    </row>
    <row r="597" spans="1:14">
      <c r="A597" s="6">
        <v>10596</v>
      </c>
      <c r="B597" s="5">
        <v>45555</v>
      </c>
      <c r="C597" s="4" t="s">
        <v>43</v>
      </c>
      <c r="D597" s="4" t="s">
        <v>15</v>
      </c>
      <c r="E597" s="4" t="s">
        <v>27</v>
      </c>
      <c r="F597" s="4" t="s">
        <v>62</v>
      </c>
      <c r="G597" s="4">
        <v>5</v>
      </c>
      <c r="H597" s="4">
        <v>16470</v>
      </c>
      <c r="I597" s="4">
        <v>0</v>
      </c>
      <c r="J597" s="4">
        <v>82350</v>
      </c>
      <c r="K597" s="4">
        <f t="shared" si="9"/>
        <v>8235</v>
      </c>
      <c r="L597" s="4" t="s">
        <v>55</v>
      </c>
      <c r="M597" s="4" t="s">
        <v>54</v>
      </c>
      <c r="N597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598" spans="1:14">
      <c r="A598" s="6">
        <v>10597</v>
      </c>
      <c r="B598" s="5">
        <v>45295</v>
      </c>
      <c r="C598" s="4" t="s">
        <v>25</v>
      </c>
      <c r="D598" s="4" t="s">
        <v>32</v>
      </c>
      <c r="E598" s="4" t="s">
        <v>33</v>
      </c>
      <c r="F598" s="4" t="s">
        <v>66</v>
      </c>
      <c r="G598" s="4">
        <v>3</v>
      </c>
      <c r="H598" s="4">
        <v>28332</v>
      </c>
      <c r="I598" s="4">
        <v>0.02</v>
      </c>
      <c r="J598" s="4">
        <v>84996</v>
      </c>
      <c r="K598" s="4">
        <f t="shared" si="9"/>
        <v>21249</v>
      </c>
      <c r="L598" s="4" t="s">
        <v>67</v>
      </c>
      <c r="M598" s="4" t="s">
        <v>30</v>
      </c>
      <c r="N598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0.25</v>
      </c>
    </row>
    <row r="599" spans="1:14">
      <c r="A599" s="6">
        <v>10598</v>
      </c>
      <c r="B599" s="5">
        <v>45372</v>
      </c>
      <c r="C599" s="4" t="s">
        <v>31</v>
      </c>
      <c r="D599" s="4" t="s">
        <v>38</v>
      </c>
      <c r="E599" s="4" t="s">
        <v>45</v>
      </c>
      <c r="F599" s="4" t="s">
        <v>57</v>
      </c>
      <c r="G599" s="4">
        <v>7</v>
      </c>
      <c r="H599" s="4">
        <v>47851</v>
      </c>
      <c r="I599" s="4">
        <v>0.02</v>
      </c>
      <c r="J599" s="4">
        <v>334957</v>
      </c>
      <c r="K599" s="4">
        <f t="shared" si="9"/>
        <v>117234.95</v>
      </c>
      <c r="L599" s="4" t="s">
        <v>42</v>
      </c>
      <c r="M599" s="4" t="s">
        <v>30</v>
      </c>
      <c r="N599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0.35</v>
      </c>
    </row>
    <row r="600" spans="1:14">
      <c r="A600" s="6">
        <v>10599</v>
      </c>
      <c r="B600" s="5">
        <v>45354</v>
      </c>
      <c r="C600" s="4" t="s">
        <v>43</v>
      </c>
      <c r="D600" s="4" t="s">
        <v>38</v>
      </c>
      <c r="E600" s="4" t="s">
        <v>27</v>
      </c>
      <c r="F600" s="4" t="s">
        <v>28</v>
      </c>
      <c r="G600" s="4">
        <v>6</v>
      </c>
      <c r="H600" s="4">
        <v>18883</v>
      </c>
      <c r="I600" s="4">
        <v>0.05</v>
      </c>
      <c r="J600" s="4">
        <v>113298</v>
      </c>
      <c r="K600" s="4">
        <f t="shared" si="9"/>
        <v>11329.800000000001</v>
      </c>
      <c r="L600" s="4" t="s">
        <v>42</v>
      </c>
      <c r="M600" s="4" t="s">
        <v>30</v>
      </c>
      <c r="N600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  <row r="601" spans="1:14">
      <c r="A601" s="8">
        <v>10600</v>
      </c>
      <c r="B601" s="9">
        <v>45598</v>
      </c>
      <c r="C601" s="10" t="s">
        <v>14</v>
      </c>
      <c r="D601" s="10" t="s">
        <v>32</v>
      </c>
      <c r="E601" s="10" t="s">
        <v>27</v>
      </c>
      <c r="F601" s="10" t="s">
        <v>62</v>
      </c>
      <c r="G601" s="10">
        <v>7</v>
      </c>
      <c r="H601" s="10">
        <v>34066</v>
      </c>
      <c r="I601" s="10">
        <v>0</v>
      </c>
      <c r="J601" s="10">
        <v>238462</v>
      </c>
      <c r="K601" s="10">
        <f t="shared" si="9"/>
        <v>23846.2</v>
      </c>
      <c r="L601" s="10" t="s">
        <v>47</v>
      </c>
      <c r="M601" s="10" t="s">
        <v>24</v>
      </c>
      <c r="N601" s="18">
        <f>IF(Table_RawData[[#This Row],[Product_Category]]=$T$8,$U$8,IF(Table_RawData[[#This Row],[Product_Category]]=$T$9,$U$9,IF(Table_RawData[[#This Row],[Product_Category]]=$T$10,$U$10,IF(Table_RawData[[#This Row],[Product_Category]]=$T$11,$U$11,IF(Table_RawData[[#This Row],[Product_Category]]=$T$12,$U$12,"WRONG")))))</f>
        <v>0.1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B4" sqref="B4:M11"/>
    </sheetView>
  </sheetViews>
  <sheetFormatPr defaultRowHeight="15"/>
  <cols>
    <col min="1" max="1" width="41.5703125" bestFit="1" customWidth="1"/>
    <col min="2" max="13" width="14.42578125" bestFit="1" customWidth="1"/>
  </cols>
  <sheetData>
    <row r="1" spans="1:13" ht="18.75">
      <c r="A1" s="1" t="s">
        <v>68</v>
      </c>
    </row>
    <row r="3" spans="1:13">
      <c r="A3" t="s">
        <v>69</v>
      </c>
      <c r="B3" s="2" t="s">
        <v>67</v>
      </c>
      <c r="C3" s="2" t="s">
        <v>29</v>
      </c>
      <c r="D3" s="2" t="s">
        <v>42</v>
      </c>
      <c r="E3" s="2" t="s">
        <v>37</v>
      </c>
      <c r="F3" s="2" t="s">
        <v>50</v>
      </c>
      <c r="G3" s="2" t="s">
        <v>18</v>
      </c>
      <c r="H3" s="2" t="s">
        <v>53</v>
      </c>
      <c r="I3" s="2" t="s">
        <v>61</v>
      </c>
      <c r="J3" s="2" t="s">
        <v>55</v>
      </c>
      <c r="K3" s="2" t="s">
        <v>58</v>
      </c>
      <c r="L3" s="2" t="s">
        <v>47</v>
      </c>
      <c r="M3" s="2" t="s">
        <v>23</v>
      </c>
    </row>
    <row r="4" spans="1:13">
      <c r="A4" s="2" t="s">
        <v>14</v>
      </c>
      <c r="B4" s="19">
        <f>SUMIFS(Raw_Data!$J:$J,Raw_Data!$C:$C,"Dubai",Raw_Data!$L:$L,"2024-01")</f>
        <v>953430</v>
      </c>
      <c r="C4" s="19">
        <f>SUMIFS(Raw_Data!$J:$J,Raw_Data!$C:$C,"Dubai",Raw_Data!$L:$L,"2024-02")</f>
        <v>355306</v>
      </c>
      <c r="D4" s="19">
        <f>SUMIFS(Raw_Data!$J:$J,Raw_Data!$C:$C,"Dubai",Raw_Data!$L:$L,"2024-03")</f>
        <v>347818</v>
      </c>
      <c r="E4" s="19">
        <f>SUMIFS(Raw_Data!$J:$J,Raw_Data!$C:$C,"Dubai",Raw_Data!$L:$L,"2024-04")</f>
        <v>1979616</v>
      </c>
      <c r="F4" s="19">
        <f>SUMIFS(Raw_Data!$J:$J,Raw_Data!$C:$C,"Dubai",Raw_Data!$L:$L,"2024-05")</f>
        <v>1390819</v>
      </c>
      <c r="G4" s="19">
        <f>SUMIFS(Raw_Data!$J:$J,Raw_Data!$C:$C,"Dubai",Raw_Data!$L:$L,"2024-06")</f>
        <v>697472</v>
      </c>
      <c r="H4" s="19">
        <f>SUMIFS(Raw_Data!$J:$J,Raw_Data!$C:$C,"Dubai",Raw_Data!$L:$L,"2024-07")</f>
        <v>1197787</v>
      </c>
      <c r="I4" s="19">
        <f>SUMIFS(Raw_Data!$J:$J,Raw_Data!$C:$C,"Dubai",Raw_Data!$L:$L,"2024-08")</f>
        <v>1746772</v>
      </c>
      <c r="J4" s="19">
        <f>SUMIFS(Raw_Data!$J:$J,Raw_Data!$C:$C,"Dubai",Raw_Data!$L:$L,"2024-09")</f>
        <v>1237811</v>
      </c>
      <c r="K4" s="19">
        <f>SUMIFS(Raw_Data!$J:$J,Raw_Data!$C:$C,"Dubai",Raw_Data!$L:$L,"2024-10")</f>
        <v>175025</v>
      </c>
      <c r="L4" s="19">
        <f>SUMIFS(Raw_Data!$J:$J,Raw_Data!$C:$C,"Dubai",Raw_Data!$L:$L,"2024-11")</f>
        <v>866105</v>
      </c>
      <c r="M4" s="19">
        <f>SUMIFS(Raw_Data!$J:$J,Raw_Data!$C:$C,"Dubai",Raw_Data!$L:$L,"2024-12")</f>
        <v>1079863</v>
      </c>
    </row>
    <row r="5" spans="1:13">
      <c r="A5" s="2" t="s">
        <v>25</v>
      </c>
      <c r="B5" s="19">
        <f>SUMIFS(Raw_Data!$J:$J,Raw_Data!$C:$C,"Abu Dhabi",Raw_Data!$L:$L,"2024-01")</f>
        <v>912062</v>
      </c>
      <c r="C5" s="19">
        <f>SUMIFS(Raw_Data!$J:$J,Raw_Data!$C:$C,"Abu Dhabi",Raw_Data!$L:$L,"2024-02")</f>
        <v>1996051</v>
      </c>
      <c r="D5" s="19">
        <f>SUMIFS(Raw_Data!$J:$J,Raw_Data!$C:$C,"Abu Dhabi",Raw_Data!$L:$L,"2024-03")</f>
        <v>1074668</v>
      </c>
      <c r="E5" s="19">
        <f>SUMIFS(Raw_Data!$J:$J,Raw_Data!$C:$C,"Abu Dhabi",Raw_Data!$L:$L,"2024-04")</f>
        <v>1997470</v>
      </c>
      <c r="F5" s="19">
        <f>SUMIFS(Raw_Data!$J:$J,Raw_Data!$C:$C,"Abu Dhabi",Raw_Data!$L:$L,"2024-05")</f>
        <v>2903086</v>
      </c>
      <c r="G5" s="19">
        <f>SUMIFS(Raw_Data!$J:$J,Raw_Data!$C:$C,"Abu Dhabi",Raw_Data!$L:$L,"2024-06")</f>
        <v>483073</v>
      </c>
      <c r="H5" s="19">
        <f>SUMIFS(Raw_Data!$J:$J,Raw_Data!$C:$C,"Abu Dhabi",Raw_Data!$L:$L,"2024-07")</f>
        <v>1193974</v>
      </c>
      <c r="I5" s="19">
        <f>SUMIFS(Raw_Data!$J:$J,Raw_Data!$C:$C,"Abu Dhabi",Raw_Data!$L:$L,"2024-08")</f>
        <v>294312</v>
      </c>
      <c r="J5" s="19">
        <f>SUMIFS(Raw_Data!$J:$J,Raw_Data!$C:$C,"Abu Dhabi",Raw_Data!$L:$L,"2024-09")</f>
        <v>943495</v>
      </c>
      <c r="K5" s="19">
        <f>SUMIFS(Raw_Data!$J:$J,Raw_Data!$C:$C,"Abu Dhabi",Raw_Data!$L:$L,"2024-10")</f>
        <v>1338977</v>
      </c>
      <c r="L5" s="19">
        <f>SUMIFS(Raw_Data!$J:$J,Raw_Data!$C:$C,"Abu Dhabi",Raw_Data!$L:$L,"2024-11")</f>
        <v>1359266</v>
      </c>
      <c r="M5" s="19">
        <f>SUMIFS(Raw_Data!$J:$J,Raw_Data!$C:$C,"Abu Dhabi",Raw_Data!$L:$L,"2024-12")</f>
        <v>1176568</v>
      </c>
    </row>
    <row r="6" spans="1:13">
      <c r="A6" s="2" t="s">
        <v>31</v>
      </c>
      <c r="B6" s="19">
        <f>SUMIFS(Raw_Data!$J:$J,Raw_Data!$C:$C,"Ras Al Khaimah",Raw_Data!$L:$L,"2024-01")</f>
        <v>1178841</v>
      </c>
      <c r="C6" s="19">
        <f>SUMIFS(Raw_Data!$J:$J,Raw_Data!$C:$C,"Ras Al Khaimah",Raw_Data!$L:$L,"2024-02")</f>
        <v>1090738</v>
      </c>
      <c r="D6" s="19">
        <f>SUMIFS(Raw_Data!$J:$J,Raw_Data!$C:$C,"Ras Al Khaimah",Raw_Data!$L:$L,"2024-03")</f>
        <v>914305</v>
      </c>
      <c r="E6" s="19">
        <f>SUMIFS(Raw_Data!$J:$J,Raw_Data!$C:$C,"Ras Al Khaimah",Raw_Data!$L:$L,"2024-04")</f>
        <v>614478</v>
      </c>
      <c r="F6" s="19">
        <f>SUMIFS(Raw_Data!$J:$J,Raw_Data!$C:$C,"Ras Al Khaimah",Raw_Data!$L:$L,"2024-05")</f>
        <v>1306157</v>
      </c>
      <c r="G6" s="19">
        <f>SUMIFS(Raw_Data!$J:$J,Raw_Data!$C:$C,"Ras Al Khaimah",Raw_Data!$L:$L,"2024-06")</f>
        <v>428736</v>
      </c>
      <c r="H6" s="19">
        <f>SUMIFS(Raw_Data!$J:$J,Raw_Data!$C:$C,"Ras Al Khaimah",Raw_Data!$L:$L,"2024-07")</f>
        <v>883121</v>
      </c>
      <c r="I6" s="19">
        <f>SUMIFS(Raw_Data!$J:$J,Raw_Data!$C:$C,"Ras Al Khaimah",Raw_Data!$L:$L,"2024-08")</f>
        <v>1800438</v>
      </c>
      <c r="J6" s="19">
        <f>SUMIFS(Raw_Data!$J:$J,Raw_Data!$C:$C,"Ras Al Khaimah",Raw_Data!$L:$L,"2024-09")</f>
        <v>1377391</v>
      </c>
      <c r="K6" s="19">
        <f>SUMIFS(Raw_Data!$J:$J,Raw_Data!$C:$C,"Ras Al Khaimah",Raw_Data!$L:$L,"2024-10")</f>
        <v>2224518</v>
      </c>
      <c r="L6" s="19">
        <f>SUMIFS(Raw_Data!$J:$J,Raw_Data!$C:$C,"Ras Al Khaimah",Raw_Data!$L:$L,"2024-11")</f>
        <v>1187676</v>
      </c>
      <c r="M6" s="19">
        <f>SUMIFS(Raw_Data!$J:$J,Raw_Data!$C:$C,"Ras Al Khaimah",Raw_Data!$L:$L,"2024-12")</f>
        <v>1525026</v>
      </c>
    </row>
    <row r="7" spans="1:13">
      <c r="A7" s="2" t="s">
        <v>35</v>
      </c>
      <c r="B7" s="19">
        <f>SUMIFS(Raw_Data!$J:$J,Raw_Data!$C:$C,"Ajman",Raw_Data!$L:$L,"2024-01")</f>
        <v>791649</v>
      </c>
      <c r="C7" s="19">
        <f>SUMIFS(Raw_Data!$J:$J,Raw_Data!$C:$C,"Ajman",Raw_Data!$L:$L,"2024-02")</f>
        <v>2020920</v>
      </c>
      <c r="D7" s="19">
        <f>SUMIFS(Raw_Data!$J:$J,Raw_Data!$C:$C,"Ajman",Raw_Data!$L:$L,"2024-03")</f>
        <v>492128</v>
      </c>
      <c r="E7" s="19">
        <f>SUMIFS(Raw_Data!$J:$J,Raw_Data!$C:$C,"Ajman",Raw_Data!$L:$L,"2024-04")</f>
        <v>1083070</v>
      </c>
      <c r="F7" s="19">
        <f>SUMIFS(Raw_Data!$J:$J,Raw_Data!$C:$C,"Ajman",Raw_Data!$L:$L,"2024-05")</f>
        <v>1333662</v>
      </c>
      <c r="G7" s="19">
        <f>SUMIFS(Raw_Data!$J:$J,Raw_Data!$C:$C,"Ajman",Raw_Data!$L:$L,"2024-06")</f>
        <v>877652</v>
      </c>
      <c r="H7" s="19">
        <f>SUMIFS(Raw_Data!$J:$J,Raw_Data!$C:$C,"Ajman",Raw_Data!$L:$L,"2024-07")</f>
        <v>247422</v>
      </c>
      <c r="I7" s="19">
        <f>SUMIFS(Raw_Data!$J:$J,Raw_Data!$C:$C,"Ajman",Raw_Data!$L:$L,"2024-08")</f>
        <v>1267343</v>
      </c>
      <c r="J7" s="19">
        <f>SUMIFS(Raw_Data!$J:$J,Raw_Data!$C:$C,"Ajman",Raw_Data!$L:$L,"2024-09")</f>
        <v>513816</v>
      </c>
      <c r="K7" s="19">
        <f>SUMIFS(Raw_Data!$J:$J,Raw_Data!$C:$C,"Ajman",Raw_Data!$L:$L,"2024-10")</f>
        <v>535667</v>
      </c>
      <c r="L7" s="19">
        <f>SUMIFS(Raw_Data!$J:$J,Raw_Data!$C:$C,"Ajman",Raw_Data!$L:$L,"2024-11")</f>
        <v>248682</v>
      </c>
      <c r="M7" s="19">
        <f>SUMIFS(Raw_Data!$J:$J,Raw_Data!$C:$C,"Ajman",Raw_Data!$L:$L,"2024-12")</f>
        <v>1027553</v>
      </c>
    </row>
    <row r="8" spans="1:13">
      <c r="A8" s="2" t="s">
        <v>43</v>
      </c>
      <c r="B8" s="19">
        <f>SUMIFS(Raw_Data!$J:$J,Raw_Data!$C:$C,"Sharjah",Raw_Data!$L:$L,"2024-01")</f>
        <v>569009</v>
      </c>
      <c r="C8" s="19">
        <f>SUMIFS(Raw_Data!$J:$J,Raw_Data!$C:$C,"Sharjah",Raw_Data!$L:$L,"2024-02")</f>
        <v>1578948</v>
      </c>
      <c r="D8" s="19">
        <f>SUMIFS(Raw_Data!$J:$J,Raw_Data!$C:$C,"Sharjah",Raw_Data!$L:$L,"2024-03")</f>
        <v>990741</v>
      </c>
      <c r="E8" s="19">
        <f>SUMIFS(Raw_Data!$J:$J,Raw_Data!$C:$C,"Sharjah",Raw_Data!$L:$L,"2024-04")</f>
        <v>736219</v>
      </c>
      <c r="F8" s="19">
        <f>SUMIFS(Raw_Data!$J:$J,Raw_Data!$C:$C,"Sharjah",Raw_Data!$L:$L,"2024-05")</f>
        <v>1773463</v>
      </c>
      <c r="G8" s="19">
        <f>SUMIFS(Raw_Data!$J:$J,Raw_Data!$C:$C,"Sharjah",Raw_Data!$L:$L,"2024-06")</f>
        <v>1569994</v>
      </c>
      <c r="H8" s="19">
        <f>SUMIFS(Raw_Data!$J:$J,Raw_Data!$C:$C,"Sharjah",Raw_Data!$L:$L,"2024-07")</f>
        <v>1454965</v>
      </c>
      <c r="I8" s="19">
        <f>SUMIFS(Raw_Data!$J:$J,Raw_Data!$C:$C,"Sharjah",Raw_Data!$L:$L,"2024-08")</f>
        <v>1225421</v>
      </c>
      <c r="J8" s="19">
        <f>SUMIFS(Raw_Data!$J:$J,Raw_Data!$C:$C,"Sharjah",Raw_Data!$L:$L,"2024-09")</f>
        <v>670259</v>
      </c>
      <c r="K8" s="19">
        <f>SUMIFS(Raw_Data!$J:$J,Raw_Data!$C:$C,"Sharjah",Raw_Data!$L:$L,"2024-10")</f>
        <v>704780</v>
      </c>
      <c r="L8" s="19">
        <f>SUMIFS(Raw_Data!$J:$J,Raw_Data!$C:$C,"Sharjah",Raw_Data!$L:$L,"2024-11")</f>
        <v>1208821</v>
      </c>
      <c r="M8" s="19">
        <f>SUMIFS(Raw_Data!$J:$J,Raw_Data!$C:$C,"Sharjah",Raw_Data!$L:$L,"2024-12")</f>
        <v>982387</v>
      </c>
    </row>
    <row r="9" spans="1:13">
      <c r="A9" s="2" t="s">
        <v>48</v>
      </c>
      <c r="B9" s="19">
        <f>SUMIFS(Raw_Data!$J:$J,Raw_Data!$C:$C,"Fujairah",Raw_Data!$L:$L,"2024-01")</f>
        <v>1141670</v>
      </c>
      <c r="C9" s="19">
        <f>SUMIFS(Raw_Data!$J:$J,Raw_Data!$C:$C,"Fujairah",Raw_Data!$L:$L,"2024-02")</f>
        <v>1125958</v>
      </c>
      <c r="D9" s="19">
        <f>SUMIFS(Raw_Data!$J:$J,Raw_Data!$C:$C,"Fujairah",Raw_Data!$L:$L,"2024-03")</f>
        <v>504455</v>
      </c>
      <c r="E9" s="19">
        <f>SUMIFS(Raw_Data!$J:$J,Raw_Data!$C:$C,"Fujairah",Raw_Data!$L:$L,"2024-04")</f>
        <v>988033</v>
      </c>
      <c r="F9" s="19">
        <f>SUMIFS(Raw_Data!$J:$J,Raw_Data!$C:$C,"Fujairah",Raw_Data!$L:$L,"2024-05")</f>
        <v>901049</v>
      </c>
      <c r="G9" s="19">
        <f>SUMIFS(Raw_Data!$J:$J,Raw_Data!$C:$C,"Fujairah",Raw_Data!$L:$L,"2024-06")</f>
        <v>1090427</v>
      </c>
      <c r="H9" s="19">
        <f>SUMIFS(Raw_Data!$J:$J,Raw_Data!$C:$C,"Fujairah",Raw_Data!$L:$L,"2024-07")</f>
        <v>913417</v>
      </c>
      <c r="I9" s="19">
        <f>SUMIFS(Raw_Data!$J:$J,Raw_Data!$C:$C,"Fujairah",Raw_Data!$L:$L,"2024-08")</f>
        <v>712144</v>
      </c>
      <c r="J9" s="19">
        <f>SUMIFS(Raw_Data!$J:$J,Raw_Data!$C:$C,"Fujairah",Raw_Data!$L:$L,"2024-09")</f>
        <v>890883</v>
      </c>
      <c r="K9" s="19">
        <f>SUMIFS(Raw_Data!$J:$J,Raw_Data!$C:$C,"Fujairah",Raw_Data!$L:$L,"2024-10")</f>
        <v>805158</v>
      </c>
      <c r="L9" s="19">
        <f>SUMIFS(Raw_Data!$J:$J,Raw_Data!$C:$C,"Fujairah",Raw_Data!$L:$L,"2024-11")</f>
        <v>297885</v>
      </c>
      <c r="M9" s="19">
        <f>SUMIFS(Raw_Data!$J:$J,Raw_Data!$C:$C,"Fujairah",Raw_Data!$L:$L,"2024-12")</f>
        <v>568969</v>
      </c>
    </row>
    <row r="10" spans="1:13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>
      <c r="A11" s="2" t="s">
        <v>70</v>
      </c>
      <c r="B11" s="20">
        <f t="shared" ref="B11:M11" si="0">SUM(B4:B9)</f>
        <v>5546661</v>
      </c>
      <c r="C11" s="20">
        <f t="shared" si="0"/>
        <v>8167921</v>
      </c>
      <c r="D11" s="20">
        <f t="shared" si="0"/>
        <v>4324115</v>
      </c>
      <c r="E11" s="20">
        <f t="shared" si="0"/>
        <v>7398886</v>
      </c>
      <c r="F11" s="20">
        <f t="shared" si="0"/>
        <v>9608236</v>
      </c>
      <c r="G11" s="20">
        <f t="shared" si="0"/>
        <v>5147354</v>
      </c>
      <c r="H11" s="20">
        <f t="shared" si="0"/>
        <v>5890686</v>
      </c>
      <c r="I11" s="20">
        <f t="shared" si="0"/>
        <v>7046430</v>
      </c>
      <c r="J11" s="20">
        <f t="shared" si="0"/>
        <v>5633655</v>
      </c>
      <c r="K11" s="20">
        <f t="shared" si="0"/>
        <v>5784125</v>
      </c>
      <c r="L11" s="20">
        <f t="shared" si="0"/>
        <v>5168435</v>
      </c>
      <c r="M11" s="20">
        <f t="shared" si="0"/>
        <v>6360366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3" sqref="B3:B12"/>
    </sheetView>
  </sheetViews>
  <sheetFormatPr defaultRowHeight="15"/>
  <cols>
    <col min="1" max="1" width="51.42578125" bestFit="1" customWidth="1"/>
    <col min="2" max="2" width="15.42578125" bestFit="1" customWidth="1"/>
  </cols>
  <sheetData>
    <row r="1" spans="1:2" ht="18.75">
      <c r="A1" s="1" t="s">
        <v>71</v>
      </c>
      <c r="B1" t="s">
        <v>72</v>
      </c>
    </row>
    <row r="2" spans="1:2">
      <c r="A2" t="s">
        <v>3</v>
      </c>
      <c r="B2" t="s">
        <v>73</v>
      </c>
    </row>
    <row r="3" spans="1:2">
      <c r="A3" t="s">
        <v>15</v>
      </c>
      <c r="B3" s="19">
        <f>SUMIFS(Raw_Data!$J:$J,Raw_Data!$D:$D,"Zain")</f>
        <v>8092627</v>
      </c>
    </row>
    <row r="4" spans="1:2">
      <c r="A4" t="s">
        <v>36</v>
      </c>
      <c r="B4" s="19">
        <f>SUMIFS(Raw_Data!$J:$J,Raw_Data!$D:$D,"Ayesha")</f>
        <v>5584113</v>
      </c>
    </row>
    <row r="5" spans="1:2">
      <c r="A5" t="s">
        <v>32</v>
      </c>
      <c r="B5" s="19">
        <f>SUMIFS(Raw_Data!$J:$J,Raw_Data!$D:$D,"Ravi")</f>
        <v>7649148</v>
      </c>
    </row>
    <row r="6" spans="1:2">
      <c r="A6" t="s">
        <v>44</v>
      </c>
      <c r="B6" s="19">
        <f>SUMIFS(Raw_Data!$J:$J,Raw_Data!$D:$D,"Leena")</f>
        <v>7084240</v>
      </c>
    </row>
    <row r="7" spans="1:2">
      <c r="A7" t="s">
        <v>41</v>
      </c>
      <c r="B7" s="19">
        <f>SUMIFS(Raw_Data!$J:$J,Raw_Data!$D:$D,"Fatima")</f>
        <v>10688171</v>
      </c>
    </row>
    <row r="8" spans="1:2">
      <c r="A8" t="s">
        <v>26</v>
      </c>
      <c r="B8" s="19">
        <f>SUMIFS(Raw_Data!$J:$J,Raw_Data!$D:$D,"Omar")</f>
        <v>7032470</v>
      </c>
    </row>
    <row r="9" spans="1:2">
      <c r="A9" t="s">
        <v>63</v>
      </c>
      <c r="B9" s="19">
        <f>SUMIFS(Raw_Data!$J:$J,Raw_Data!$D:$D,"Sara")</f>
        <v>7575855</v>
      </c>
    </row>
    <row r="10" spans="1:2">
      <c r="A10" t="s">
        <v>51</v>
      </c>
      <c r="B10" s="19">
        <f>SUMIFS(Raw_Data!$J:$J,Raw_Data!$D:$D,"Mohan")</f>
        <v>6794121</v>
      </c>
    </row>
    <row r="11" spans="1:2">
      <c r="A11" t="s">
        <v>38</v>
      </c>
      <c r="B11" s="19">
        <f>SUMIFS(Raw_Data!$J:$J,Raw_Data!$D:$D,"Priyanka")</f>
        <v>10149153</v>
      </c>
    </row>
    <row r="12" spans="1:2">
      <c r="A12" t="s">
        <v>20</v>
      </c>
      <c r="B12" s="19">
        <f>SUMIFS(Raw_Data!$J:$J,Raw_Data!$D:$D,"Karan")</f>
        <v>5426972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workbookViewId="0"/>
  </sheetViews>
  <sheetFormatPr defaultRowHeight="15"/>
  <cols>
    <col min="1" max="1" width="46" bestFit="1" customWidth="1"/>
    <col min="2" max="2" width="15.42578125" bestFit="1" customWidth="1"/>
    <col min="6" max="6" width="8" bestFit="1" customWidth="1"/>
    <col min="7" max="7" width="15.42578125" bestFit="1" customWidth="1"/>
    <col min="15" max="15" width="14.28515625" bestFit="1" customWidth="1"/>
    <col min="16" max="16" width="15.42578125" bestFit="1" customWidth="1"/>
  </cols>
  <sheetData>
    <row r="1" spans="1:16" ht="21">
      <c r="A1" s="3" t="s">
        <v>74</v>
      </c>
    </row>
    <row r="3" spans="1:16">
      <c r="A3" s="28" t="s">
        <v>75</v>
      </c>
      <c r="B3" s="26">
        <f>SUM(Raw_Data!J:J)</f>
        <v>76076870</v>
      </c>
    </row>
    <row r="4" spans="1:16">
      <c r="A4" s="29" t="s">
        <v>76</v>
      </c>
      <c r="B4" s="27">
        <f>SUM(Raw_Data!K:K)</f>
        <v>18527488.749999996</v>
      </c>
    </row>
    <row r="5" spans="1:16">
      <c r="A5" s="29" t="s">
        <v>77</v>
      </c>
      <c r="B5" s="7">
        <f>AVERAGE(Raw_Data!K:K)/AVERAGE(Raw_Data!J:J)</f>
        <v>0.24353642243693774</v>
      </c>
    </row>
    <row r="6" spans="1:16">
      <c r="A6" s="30" t="s">
        <v>78</v>
      </c>
      <c r="B6" s="11" t="str">
        <f>INDEX(O9:O14,MATCH(MAX(P9:P14),P9:P14,0))</f>
        <v>Abu Dhabi</v>
      </c>
    </row>
    <row r="8" spans="1:16">
      <c r="O8" s="37" t="s">
        <v>79</v>
      </c>
      <c r="P8" s="32"/>
    </row>
    <row r="9" spans="1:16">
      <c r="O9" s="36" t="s">
        <v>14</v>
      </c>
      <c r="P9" s="33">
        <f>SUM(Summary!B4:M4)</f>
        <v>12027824</v>
      </c>
    </row>
    <row r="10" spans="1:16">
      <c r="O10" s="29" t="s">
        <v>25</v>
      </c>
      <c r="P10" s="27">
        <f>SUM(Summary!B5:M5)</f>
        <v>15673002</v>
      </c>
    </row>
    <row r="11" spans="1:16">
      <c r="O11" s="29" t="s">
        <v>31</v>
      </c>
      <c r="P11" s="27">
        <f>SUM(Summary!B6:M6)</f>
        <v>14531425</v>
      </c>
    </row>
    <row r="12" spans="1:16">
      <c r="O12" s="29" t="s">
        <v>35</v>
      </c>
      <c r="P12" s="27">
        <f>SUM(Summary!B7:M7)</f>
        <v>10439564</v>
      </c>
    </row>
    <row r="13" spans="1:16">
      <c r="O13" s="29" t="s">
        <v>43</v>
      </c>
      <c r="P13" s="27">
        <f>SUM(Summary!B8:M8)</f>
        <v>13465007</v>
      </c>
    </row>
    <row r="14" spans="1:16">
      <c r="O14" s="30" t="s">
        <v>48</v>
      </c>
      <c r="P14" s="31">
        <f>SUM(Summary!B9:M9)</f>
        <v>9940048</v>
      </c>
    </row>
    <row r="20" spans="1:7">
      <c r="A20" s="34" t="s">
        <v>2</v>
      </c>
      <c r="B20" s="35" t="s">
        <v>73</v>
      </c>
      <c r="F20" t="s">
        <v>11</v>
      </c>
      <c r="G20" t="s">
        <v>80</v>
      </c>
    </row>
    <row r="21" spans="1:7">
      <c r="A21" s="36" t="s">
        <v>14</v>
      </c>
      <c r="B21" s="33">
        <f>SUMIFS(Raw_Data!$J:$J,Raw_Data!$C:$C,"Dubai")</f>
        <v>12027824</v>
      </c>
      <c r="F21" t="s">
        <v>67</v>
      </c>
      <c r="G21">
        <f>SUMIFS(Raw_Data!$J:$J,Raw_Data!$L:$L,"2024-01")</f>
        <v>5546661</v>
      </c>
    </row>
    <row r="22" spans="1:7">
      <c r="A22" s="29" t="s">
        <v>25</v>
      </c>
      <c r="B22" s="27">
        <f>SUMIFS(Raw_Data!$J:$J,Raw_Data!$C:$C,"Abu Dhabi")</f>
        <v>15673002</v>
      </c>
      <c r="F22" t="s">
        <v>29</v>
      </c>
      <c r="G22">
        <f>SUMIFS(Raw_Data!$J:$J,Raw_Data!$L:$L,"2024-02")</f>
        <v>8167921</v>
      </c>
    </row>
    <row r="23" spans="1:7">
      <c r="A23" s="29" t="s">
        <v>31</v>
      </c>
      <c r="B23" s="27">
        <f>SUMIFS(Raw_Data!$J:$J,Raw_Data!$C:$C,"Ras Al Khaimah")</f>
        <v>14531425</v>
      </c>
      <c r="F23" t="s">
        <v>42</v>
      </c>
      <c r="G23">
        <f>SUMIFS(Raw_Data!$J:$J,Raw_Data!$L:$L,"2024-03")</f>
        <v>4324115</v>
      </c>
    </row>
    <row r="24" spans="1:7">
      <c r="A24" s="29" t="s">
        <v>35</v>
      </c>
      <c r="B24" s="27">
        <f>SUMIFS(Raw_Data!$J:$J,Raw_Data!$C:$C,"Ajman")</f>
        <v>10439564</v>
      </c>
      <c r="F24" t="s">
        <v>37</v>
      </c>
      <c r="G24">
        <f>SUMIFS(Raw_Data!$J:$J,Raw_Data!$L:$L,"2024-04")</f>
        <v>7398886</v>
      </c>
    </row>
    <row r="25" spans="1:7">
      <c r="A25" s="29" t="s">
        <v>43</v>
      </c>
      <c r="B25" s="27">
        <f>SUMIFS(Raw_Data!$J:$J,Raw_Data!$C:$C,"Sharjah")</f>
        <v>13465007</v>
      </c>
      <c r="F25" t="s">
        <v>50</v>
      </c>
      <c r="G25">
        <f>SUMIFS(Raw_Data!$J:$J,Raw_Data!$L:$L,"2024-05")</f>
        <v>9608236</v>
      </c>
    </row>
    <row r="26" spans="1:7">
      <c r="A26" s="30" t="s">
        <v>48</v>
      </c>
      <c r="B26" s="31">
        <f>SUMIFS(Raw_Data!$J:$J,Raw_Data!$C:$C,"Fujairah")</f>
        <v>9940048</v>
      </c>
      <c r="F26" t="s">
        <v>18</v>
      </c>
      <c r="G26">
        <f>SUMIFS(Raw_Data!$J:$J,Raw_Data!$L:$L,"2024-06")</f>
        <v>5147354</v>
      </c>
    </row>
    <row r="27" spans="1:7">
      <c r="F27" t="s">
        <v>53</v>
      </c>
      <c r="G27">
        <f>SUMIFS(Raw_Data!$J:$J,Raw_Data!$L:$L,"2024-07")</f>
        <v>5890686</v>
      </c>
    </row>
    <row r="28" spans="1:7">
      <c r="F28" t="s">
        <v>61</v>
      </c>
      <c r="G28">
        <f>SUMIFS(Raw_Data!$J:$J,Raw_Data!$L:$L,"2024-08")</f>
        <v>7046430</v>
      </c>
    </row>
    <row r="29" spans="1:7">
      <c r="F29" t="s">
        <v>55</v>
      </c>
      <c r="G29">
        <f>SUMIFS(Raw_Data!$J:$J,Raw_Data!$L:$L,"2024-09")</f>
        <v>5633655</v>
      </c>
    </row>
    <row r="30" spans="1:7">
      <c r="F30" t="s">
        <v>58</v>
      </c>
      <c r="G30">
        <f>SUMIFS(Raw_Data!$J:$J,Raw_Data!$L:$L,"2024-10")</f>
        <v>5784125</v>
      </c>
    </row>
    <row r="31" spans="1:7">
      <c r="F31" t="s">
        <v>47</v>
      </c>
      <c r="G31">
        <f>SUMIFS(Raw_Data!$J:$J,Raw_Data!$L:$L,"2024-11")</f>
        <v>5168435</v>
      </c>
    </row>
    <row r="32" spans="1:7">
      <c r="F32" t="s">
        <v>23</v>
      </c>
      <c r="G32">
        <f>SUMIFS(Raw_Data!$J:$J,Raw_Data!$L:$L,"2024-12")</f>
        <v>6360366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2025-10-09T23:58:35Z</dcterms:created>
  <dcterms:modified xsi:type="dcterms:W3CDTF">2025-10-10T00:31:24Z</dcterms:modified>
  <cp:category/>
  <cp:contentStatus/>
</cp:coreProperties>
</file>